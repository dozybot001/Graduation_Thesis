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C\Desktop\Code\"/>
    </mc:Choice>
  </mc:AlternateContent>
  <xr:revisionPtr revIDLastSave="0" documentId="13_ncr:1_{34C4724A-AFBC-4886-83D3-654EF5319A7C}" xr6:coauthVersionLast="47" xr6:coauthVersionMax="47" xr10:uidLastSave="{00000000-0000-0000-0000-000000000000}"/>
  <bookViews>
    <workbookView xWindow="-98" yWindow="-98" windowWidth="21795" windowHeight="1309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7" i="4" l="1"/>
  <c r="AK8" i="4"/>
  <c r="AK9" i="4"/>
  <c r="AK10" i="4"/>
  <c r="AK6" i="4"/>
  <c r="AD29" i="4"/>
  <c r="AJ10" i="4" s="1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28" i="4"/>
  <c r="Z28" i="4"/>
  <c r="AD28" i="4"/>
  <c r="R10" i="4"/>
  <c r="R8" i="4"/>
  <c r="R6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28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28" i="4"/>
  <c r="O26" i="4"/>
  <c r="N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7" i="4"/>
  <c r="P6" i="4"/>
  <c r="P5" i="4"/>
  <c r="P4" i="4"/>
  <c r="P3" i="4"/>
  <c r="P2" i="4"/>
  <c r="AG26" i="4"/>
  <c r="AF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AH2" i="4"/>
  <c r="P6" i="1"/>
  <c r="H481" i="3" a="1"/>
  <c r="H481" i="3" s="1"/>
  <c r="L2" i="3"/>
  <c r="L3" i="3" s="1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H131" i="3" s="1" a="1"/>
  <c r="H131" i="3" s="1"/>
  <c r="P97" i="3"/>
  <c r="B2" i="3" a="1"/>
  <c r="B2" i="3" s="1"/>
  <c r="AD2" i="1" a="1"/>
  <c r="AD2" i="1" s="1"/>
  <c r="AW26" i="1"/>
  <c r="AX26" i="1"/>
  <c r="AB2" i="1" a="1"/>
  <c r="AB2" i="1" s="1"/>
  <c r="AA2" i="1" a="1"/>
  <c r="AA2" i="1" s="1"/>
  <c r="O26" i="1"/>
  <c r="P3" i="1"/>
  <c r="P4" i="1"/>
  <c r="P5" i="1"/>
  <c r="P7" i="1"/>
  <c r="P12" i="1"/>
  <c r="P13" i="1"/>
  <c r="P14" i="1"/>
  <c r="P15" i="1"/>
  <c r="P18" i="1"/>
  <c r="P20" i="1"/>
  <c r="P23" i="1"/>
  <c r="P25" i="1"/>
  <c r="P22" i="1"/>
  <c r="P24" i="1"/>
  <c r="P21" i="1"/>
  <c r="P19" i="1"/>
  <c r="P17" i="1"/>
  <c r="P16" i="1"/>
  <c r="P11" i="1"/>
  <c r="P10" i="1"/>
  <c r="P9" i="1"/>
  <c r="P8" i="1"/>
  <c r="P2" i="1"/>
  <c r="N26" i="1"/>
  <c r="AJ8" i="4" l="1"/>
  <c r="AJ6" i="4"/>
  <c r="M26" i="4"/>
  <c r="R4" i="4" s="1"/>
  <c r="P8" i="4"/>
  <c r="AE26" i="4"/>
  <c r="AJ4" i="4" s="1"/>
  <c r="L132" i="3"/>
  <c r="H132" i="3" s="1" a="1"/>
  <c r="H132" i="3" s="1"/>
  <c r="C981" i="3"/>
  <c r="C869" i="3"/>
  <c r="C805" i="3"/>
  <c r="C741" i="3"/>
  <c r="C1028" i="3"/>
  <c r="C916" i="3"/>
  <c r="C804" i="3"/>
  <c r="C692" i="3"/>
  <c r="C979" i="3"/>
  <c r="C899" i="3"/>
  <c r="C787" i="3"/>
  <c r="C659" i="3"/>
  <c r="C1010" i="3"/>
  <c r="C866" i="3"/>
  <c r="C770" i="3"/>
  <c r="C642" i="3"/>
  <c r="C977" i="3"/>
  <c r="C881" i="3"/>
  <c r="C769" i="3"/>
  <c r="C657" i="3"/>
  <c r="C1040" i="3"/>
  <c r="C976" i="3"/>
  <c r="C896" i="3"/>
  <c r="C832" i="3"/>
  <c r="C784" i="3"/>
  <c r="C720" i="3"/>
  <c r="C688" i="3"/>
  <c r="C1055" i="3"/>
  <c r="C959" i="3"/>
  <c r="C879" i="3"/>
  <c r="C783" i="3"/>
  <c r="C639" i="3"/>
  <c r="C1022" i="3"/>
  <c r="C942" i="3"/>
  <c r="C862" i="3"/>
  <c r="C798" i="3"/>
  <c r="C734" i="3"/>
  <c r="C702" i="3"/>
  <c r="C1053" i="3"/>
  <c r="C1037" i="3"/>
  <c r="C1021" i="3"/>
  <c r="C1005" i="3"/>
  <c r="C989" i="3"/>
  <c r="C973" i="3"/>
  <c r="C957" i="3"/>
  <c r="C941" i="3"/>
  <c r="C925" i="3"/>
  <c r="C909" i="3"/>
  <c r="C893" i="3"/>
  <c r="C877" i="3"/>
  <c r="C861" i="3"/>
  <c r="C845" i="3"/>
  <c r="C829" i="3"/>
  <c r="C813" i="3"/>
  <c r="C797" i="3"/>
  <c r="C781" i="3"/>
  <c r="C765" i="3"/>
  <c r="C749" i="3"/>
  <c r="C733" i="3"/>
  <c r="C717" i="3"/>
  <c r="C701" i="3"/>
  <c r="C685" i="3"/>
  <c r="C669" i="3"/>
  <c r="C653" i="3"/>
  <c r="C637" i="3"/>
  <c r="C1061" i="3"/>
  <c r="C933" i="3"/>
  <c r="C821" i="3"/>
  <c r="C693" i="3"/>
  <c r="C1060" i="3"/>
  <c r="C980" i="3"/>
  <c r="C868" i="3"/>
  <c r="C756" i="3"/>
  <c r="C724" i="3"/>
  <c r="C1011" i="3"/>
  <c r="C835" i="3"/>
  <c r="C643" i="3"/>
  <c r="C978" i="3"/>
  <c r="C914" i="3"/>
  <c r="C802" i="3"/>
  <c r="C658" i="3"/>
  <c r="C993" i="3"/>
  <c r="C897" i="3"/>
  <c r="C785" i="3"/>
  <c r="C673" i="3"/>
  <c r="C992" i="3"/>
  <c r="C912" i="3"/>
  <c r="C816" i="3"/>
  <c r="C736" i="3"/>
  <c r="C672" i="3"/>
  <c r="C1023" i="3"/>
  <c r="C943" i="3"/>
  <c r="C847" i="3"/>
  <c r="C767" i="3"/>
  <c r="C671" i="3"/>
  <c r="C990" i="3"/>
  <c r="C894" i="3"/>
  <c r="C814" i="3"/>
  <c r="C718" i="3"/>
  <c r="C686" i="3"/>
  <c r="C1068" i="3"/>
  <c r="C1052" i="3"/>
  <c r="C1036" i="3"/>
  <c r="C1020" i="3"/>
  <c r="C1004" i="3"/>
  <c r="C988" i="3"/>
  <c r="C972" i="3"/>
  <c r="C956" i="3"/>
  <c r="C940" i="3"/>
  <c r="C924" i="3"/>
  <c r="C908" i="3"/>
  <c r="C892" i="3"/>
  <c r="C876" i="3"/>
  <c r="C860" i="3"/>
  <c r="C844" i="3"/>
  <c r="C828" i="3"/>
  <c r="C812" i="3"/>
  <c r="C796" i="3"/>
  <c r="C780" i="3"/>
  <c r="C764" i="3"/>
  <c r="C748" i="3"/>
  <c r="C732" i="3"/>
  <c r="C716" i="3"/>
  <c r="C700" i="3"/>
  <c r="C684" i="3"/>
  <c r="C668" i="3"/>
  <c r="C652" i="3"/>
  <c r="C636" i="3"/>
  <c r="C997" i="3"/>
  <c r="C885" i="3"/>
  <c r="C757" i="3"/>
  <c r="C661" i="3"/>
  <c r="C1012" i="3"/>
  <c r="C900" i="3"/>
  <c r="C788" i="3"/>
  <c r="C708" i="3"/>
  <c r="C995" i="3"/>
  <c r="C851" i="3"/>
  <c r="C675" i="3"/>
  <c r="C994" i="3"/>
  <c r="C882" i="3"/>
  <c r="C754" i="3"/>
  <c r="C706" i="3"/>
  <c r="C1057" i="3"/>
  <c r="C961" i="3"/>
  <c r="C849" i="3"/>
  <c r="C753" i="3"/>
  <c r="C705" i="3"/>
  <c r="C1008" i="3"/>
  <c r="C928" i="3"/>
  <c r="C848" i="3"/>
  <c r="C752" i="3"/>
  <c r="C640" i="3"/>
  <c r="C1007" i="3"/>
  <c r="C927" i="3"/>
  <c r="C863" i="3"/>
  <c r="C799" i="3"/>
  <c r="C751" i="3"/>
  <c r="C703" i="3"/>
  <c r="C1038" i="3"/>
  <c r="C958" i="3"/>
  <c r="C878" i="3"/>
  <c r="C782" i="3"/>
  <c r="C670" i="3"/>
  <c r="C1067" i="3"/>
  <c r="C1051" i="3"/>
  <c r="C1035" i="3"/>
  <c r="C1019" i="3"/>
  <c r="C1003" i="3"/>
  <c r="C987" i="3"/>
  <c r="C971" i="3"/>
  <c r="C955" i="3"/>
  <c r="C939" i="3"/>
  <c r="C923" i="3"/>
  <c r="C907" i="3"/>
  <c r="C891" i="3"/>
  <c r="C875" i="3"/>
  <c r="C859" i="3"/>
  <c r="C843" i="3"/>
  <c r="C827" i="3"/>
  <c r="C811" i="3"/>
  <c r="C795" i="3"/>
  <c r="C779" i="3"/>
  <c r="C763" i="3"/>
  <c r="C747" i="3"/>
  <c r="C731" i="3"/>
  <c r="C715" i="3"/>
  <c r="C699" i="3"/>
  <c r="C683" i="3"/>
  <c r="C667" i="3"/>
  <c r="C651" i="3"/>
  <c r="C635" i="3"/>
  <c r="C1029" i="3"/>
  <c r="C901" i="3"/>
  <c r="C773" i="3"/>
  <c r="C645" i="3"/>
  <c r="C964" i="3"/>
  <c r="C852" i="3"/>
  <c r="C740" i="3"/>
  <c r="C1059" i="3"/>
  <c r="C947" i="3"/>
  <c r="C883" i="3"/>
  <c r="C771" i="3"/>
  <c r="C691" i="3"/>
  <c r="C1058" i="3"/>
  <c r="C946" i="3"/>
  <c r="C818" i="3"/>
  <c r="C722" i="3"/>
  <c r="C1041" i="3"/>
  <c r="C945" i="3"/>
  <c r="C865" i="3"/>
  <c r="C801" i="3"/>
  <c r="C721" i="3"/>
  <c r="C1056" i="3"/>
  <c r="C944" i="3"/>
  <c r="C864" i="3"/>
  <c r="C768" i="3"/>
  <c r="C704" i="3"/>
  <c r="C1039" i="3"/>
  <c r="C975" i="3"/>
  <c r="C911" i="3"/>
  <c r="C831" i="3"/>
  <c r="C735" i="3"/>
  <c r="C687" i="3"/>
  <c r="C1006" i="3"/>
  <c r="C926" i="3"/>
  <c r="C830" i="3"/>
  <c r="C750" i="3"/>
  <c r="C638" i="3"/>
  <c r="C1066" i="3"/>
  <c r="C1050" i="3"/>
  <c r="C1034" i="3"/>
  <c r="C1018" i="3"/>
  <c r="C1002" i="3"/>
  <c r="C986" i="3"/>
  <c r="C970" i="3"/>
  <c r="C954" i="3"/>
  <c r="C938" i="3"/>
  <c r="C922" i="3"/>
  <c r="C906" i="3"/>
  <c r="C890" i="3"/>
  <c r="C874" i="3"/>
  <c r="C858" i="3"/>
  <c r="C842" i="3"/>
  <c r="C826" i="3"/>
  <c r="C810" i="3"/>
  <c r="C794" i="3"/>
  <c r="C778" i="3"/>
  <c r="C762" i="3"/>
  <c r="C746" i="3"/>
  <c r="C730" i="3"/>
  <c r="C714" i="3"/>
  <c r="C698" i="3"/>
  <c r="C682" i="3"/>
  <c r="C666" i="3"/>
  <c r="C650" i="3"/>
  <c r="C634" i="3"/>
  <c r="C965" i="3"/>
  <c r="C853" i="3"/>
  <c r="C709" i="3"/>
  <c r="C1044" i="3"/>
  <c r="C932" i="3"/>
  <c r="C820" i="3"/>
  <c r="C676" i="3"/>
  <c r="C1027" i="3"/>
  <c r="C915" i="3"/>
  <c r="C819" i="3"/>
  <c r="C739" i="3"/>
  <c r="C1026" i="3"/>
  <c r="C930" i="3"/>
  <c r="C834" i="3"/>
  <c r="C674" i="3"/>
  <c r="C1025" i="3"/>
  <c r="C929" i="3"/>
  <c r="C833" i="3"/>
  <c r="C737" i="3"/>
  <c r="C689" i="3"/>
  <c r="C1024" i="3"/>
  <c r="C960" i="3"/>
  <c r="C880" i="3"/>
  <c r="C800" i="3"/>
  <c r="C656" i="3"/>
  <c r="C991" i="3"/>
  <c r="C895" i="3"/>
  <c r="C815" i="3"/>
  <c r="C719" i="3"/>
  <c r="C655" i="3"/>
  <c r="C1054" i="3"/>
  <c r="C974" i="3"/>
  <c r="C910" i="3"/>
  <c r="C846" i="3"/>
  <c r="C766" i="3"/>
  <c r="C654" i="3"/>
  <c r="C1065" i="3"/>
  <c r="C1049" i="3"/>
  <c r="C1033" i="3"/>
  <c r="C1017" i="3"/>
  <c r="C1001" i="3"/>
  <c r="C985" i="3"/>
  <c r="C969" i="3"/>
  <c r="C953" i="3"/>
  <c r="C937" i="3"/>
  <c r="C921" i="3"/>
  <c r="C905" i="3"/>
  <c r="C889" i="3"/>
  <c r="C873" i="3"/>
  <c r="C857" i="3"/>
  <c r="C841" i="3"/>
  <c r="C825" i="3"/>
  <c r="C809" i="3"/>
  <c r="C793" i="3"/>
  <c r="C777" i="3"/>
  <c r="C761" i="3"/>
  <c r="C745" i="3"/>
  <c r="C729" i="3"/>
  <c r="C713" i="3"/>
  <c r="C697" i="3"/>
  <c r="C681" i="3"/>
  <c r="C665" i="3"/>
  <c r="C649" i="3"/>
  <c r="C633" i="3"/>
  <c r="C632" i="3"/>
  <c r="C1045" i="3"/>
  <c r="C949" i="3"/>
  <c r="C837" i="3"/>
  <c r="C677" i="3"/>
  <c r="C996" i="3"/>
  <c r="C884" i="3"/>
  <c r="C772" i="3"/>
  <c r="C660" i="3"/>
  <c r="C1043" i="3"/>
  <c r="C931" i="3"/>
  <c r="C803" i="3"/>
  <c r="C723" i="3"/>
  <c r="C1042" i="3"/>
  <c r="C898" i="3"/>
  <c r="C690" i="3"/>
  <c r="C1064" i="3"/>
  <c r="C1048" i="3"/>
  <c r="C1016" i="3"/>
  <c r="C984" i="3"/>
  <c r="C952" i="3"/>
  <c r="C920" i="3"/>
  <c r="C888" i="3"/>
  <c r="C856" i="3"/>
  <c r="C824" i="3"/>
  <c r="C792" i="3"/>
  <c r="C760" i="3"/>
  <c r="C728" i="3"/>
  <c r="C712" i="3"/>
  <c r="C664" i="3"/>
  <c r="C1063" i="3"/>
  <c r="C1015" i="3"/>
  <c r="C983" i="3"/>
  <c r="C951" i="3"/>
  <c r="C919" i="3"/>
  <c r="C887" i="3"/>
  <c r="C855" i="3"/>
  <c r="C823" i="3"/>
  <c r="C807" i="3"/>
  <c r="C791" i="3"/>
  <c r="C775" i="3"/>
  <c r="C743" i="3"/>
  <c r="C727" i="3"/>
  <c r="C711" i="3"/>
  <c r="C695" i="3"/>
  <c r="C679" i="3"/>
  <c r="C663" i="3"/>
  <c r="C647" i="3"/>
  <c r="C631" i="3"/>
  <c r="C1013" i="3"/>
  <c r="C917" i="3"/>
  <c r="C789" i="3"/>
  <c r="C725" i="3"/>
  <c r="C948" i="3"/>
  <c r="C836" i="3"/>
  <c r="C644" i="3"/>
  <c r="C963" i="3"/>
  <c r="C867" i="3"/>
  <c r="C755" i="3"/>
  <c r="C707" i="3"/>
  <c r="C962" i="3"/>
  <c r="C850" i="3"/>
  <c r="C786" i="3"/>
  <c r="C738" i="3"/>
  <c r="C1009" i="3"/>
  <c r="C913" i="3"/>
  <c r="C817" i="3"/>
  <c r="C641" i="3"/>
  <c r="C1032" i="3"/>
  <c r="C1000" i="3"/>
  <c r="C968" i="3"/>
  <c r="C936" i="3"/>
  <c r="C904" i="3"/>
  <c r="C872" i="3"/>
  <c r="C840" i="3"/>
  <c r="C808" i="3"/>
  <c r="C776" i="3"/>
  <c r="C744" i="3"/>
  <c r="C696" i="3"/>
  <c r="C680" i="3"/>
  <c r="C648" i="3"/>
  <c r="C1047" i="3"/>
  <c r="C1031" i="3"/>
  <c r="C999" i="3"/>
  <c r="C967" i="3"/>
  <c r="C935" i="3"/>
  <c r="C903" i="3"/>
  <c r="C871" i="3"/>
  <c r="C839" i="3"/>
  <c r="C759" i="3"/>
  <c r="C1062" i="3"/>
  <c r="C1046" i="3"/>
  <c r="C1030" i="3"/>
  <c r="C1014" i="3"/>
  <c r="C998" i="3"/>
  <c r="C982" i="3"/>
  <c r="C966" i="3"/>
  <c r="C950" i="3"/>
  <c r="C934" i="3"/>
  <c r="C918" i="3"/>
  <c r="C902" i="3"/>
  <c r="C886" i="3"/>
  <c r="C870" i="3"/>
  <c r="C854" i="3"/>
  <c r="C838" i="3"/>
  <c r="C822" i="3"/>
  <c r="C806" i="3"/>
  <c r="C790" i="3"/>
  <c r="C774" i="3"/>
  <c r="C758" i="3"/>
  <c r="C742" i="3"/>
  <c r="C726" i="3"/>
  <c r="C710" i="3"/>
  <c r="C694" i="3"/>
  <c r="C678" i="3"/>
  <c r="C662" i="3"/>
  <c r="C646" i="3"/>
  <c r="C630" i="3"/>
  <c r="C413" i="3"/>
  <c r="D413" i="3" s="1"/>
  <c r="AC2" i="1" a="1"/>
  <c r="AC2" i="1" s="1"/>
  <c r="M26" i="1"/>
  <c r="R4" i="1" s="1"/>
  <c r="R2" i="4" l="1"/>
  <c r="AJ2" i="4"/>
  <c r="L133" i="3"/>
  <c r="H133" i="3" s="1" a="1"/>
  <c r="H133" i="3" s="1"/>
  <c r="C164" i="3"/>
  <c r="D164" i="3" s="1"/>
  <c r="C180" i="3"/>
  <c r="D180" i="3" s="1"/>
  <c r="C40" i="3"/>
  <c r="D40" i="3" s="1"/>
  <c r="C56" i="3"/>
  <c r="D56" i="3" s="1"/>
  <c r="C253" i="3"/>
  <c r="D253" i="3" s="1"/>
  <c r="C60" i="3"/>
  <c r="D60" i="3" s="1"/>
  <c r="C519" i="3"/>
  <c r="D519" i="3" s="1"/>
  <c r="C501" i="3"/>
  <c r="D501" i="3" s="1"/>
  <c r="C441" i="3"/>
  <c r="D441" i="3" s="1"/>
  <c r="C521" i="3"/>
  <c r="D521" i="3" s="1"/>
  <c r="C347" i="3"/>
  <c r="D347" i="3" s="1"/>
  <c r="C122" i="3"/>
  <c r="D122" i="3" s="1"/>
  <c r="C169" i="3"/>
  <c r="D169" i="3" s="1"/>
  <c r="C189" i="3"/>
  <c r="D189" i="3" s="1"/>
  <c r="C265" i="3"/>
  <c r="D265" i="3" s="1"/>
  <c r="C179" i="3"/>
  <c r="D179" i="3" s="1"/>
  <c r="C76" i="3"/>
  <c r="D76" i="3" s="1"/>
  <c r="C215" i="3"/>
  <c r="D215" i="3" s="1"/>
  <c r="C427" i="3"/>
  <c r="D427" i="3" s="1"/>
  <c r="C231" i="3"/>
  <c r="D231" i="3" s="1"/>
  <c r="C419" i="3"/>
  <c r="D419" i="3" s="1"/>
  <c r="C22" i="3"/>
  <c r="D22" i="3" s="1"/>
  <c r="C503" i="3"/>
  <c r="D503" i="3" s="1"/>
  <c r="C429" i="3"/>
  <c r="D429" i="3" s="1"/>
  <c r="C38" i="3"/>
  <c r="D38" i="3" s="1"/>
  <c r="C41" i="3"/>
  <c r="D41" i="3" s="1"/>
  <c r="C58" i="3"/>
  <c r="D58" i="3" s="1"/>
  <c r="C105" i="3"/>
  <c r="D105" i="3" s="1"/>
  <c r="C21" i="3"/>
  <c r="D21" i="3" s="1"/>
  <c r="C278" i="3"/>
  <c r="D278" i="3" s="1"/>
  <c r="C90" i="3"/>
  <c r="D90" i="3" s="1"/>
  <c r="C261" i="3"/>
  <c r="D261" i="3" s="1"/>
  <c r="C534" i="3"/>
  <c r="D534" i="3" s="1"/>
  <c r="C277" i="3"/>
  <c r="D277" i="3" s="1"/>
  <c r="C196" i="3"/>
  <c r="D196" i="3" s="1"/>
  <c r="C420" i="3"/>
  <c r="D420" i="3" s="1"/>
  <c r="C535" i="3"/>
  <c r="D535" i="3" s="1"/>
  <c r="C436" i="3"/>
  <c r="D436" i="3" s="1"/>
  <c r="C452" i="3"/>
  <c r="D452" i="3" s="1"/>
  <c r="C74" i="3"/>
  <c r="D74" i="3" s="1"/>
  <c r="C89" i="3"/>
  <c r="D89" i="3" s="1"/>
  <c r="C395" i="3"/>
  <c r="D395" i="3" s="1"/>
  <c r="C147" i="3"/>
  <c r="D147" i="3" s="1"/>
  <c r="C170" i="3"/>
  <c r="D170" i="3" s="1"/>
  <c r="C163" i="3"/>
  <c r="D163" i="3" s="1"/>
  <c r="C12" i="3"/>
  <c r="D12" i="3" s="1"/>
  <c r="C363" i="3"/>
  <c r="D363" i="3" s="1"/>
  <c r="C403" i="3"/>
  <c r="D403" i="3" s="1"/>
  <c r="C140" i="3"/>
  <c r="D140" i="3" s="1"/>
  <c r="C491" i="3"/>
  <c r="D491" i="3" s="1"/>
  <c r="C435" i="3"/>
  <c r="D435" i="3" s="1"/>
  <c r="C72" i="3"/>
  <c r="D72" i="3" s="1"/>
  <c r="C5" i="3"/>
  <c r="D5" i="3" s="1"/>
  <c r="C54" i="3"/>
  <c r="D54" i="3" s="1"/>
  <c r="C201" i="3"/>
  <c r="D201" i="3" s="1"/>
  <c r="C245" i="3"/>
  <c r="D245" i="3" s="1"/>
  <c r="C294" i="3"/>
  <c r="D294" i="3" s="1"/>
  <c r="C507" i="3"/>
  <c r="D507" i="3" s="1"/>
  <c r="C42" i="3"/>
  <c r="D42" i="3" s="1"/>
  <c r="C88" i="3"/>
  <c r="D88" i="3" s="1"/>
  <c r="C281" i="3"/>
  <c r="D281" i="3" s="1"/>
  <c r="C293" i="3"/>
  <c r="D293" i="3" s="1"/>
  <c r="C326" i="3"/>
  <c r="D326" i="3" s="1"/>
  <c r="C156" i="3"/>
  <c r="D156" i="3" s="1"/>
  <c r="C228" i="3"/>
  <c r="D228" i="3" s="1"/>
  <c r="C124" i="3"/>
  <c r="D124" i="3" s="1"/>
  <c r="C284" i="3"/>
  <c r="D284" i="3" s="1"/>
  <c r="C186" i="3"/>
  <c r="D186" i="3" s="1"/>
  <c r="C279" i="3"/>
  <c r="D279" i="3" s="1"/>
  <c r="C457" i="3"/>
  <c r="D457" i="3" s="1"/>
  <c r="C69" i="3"/>
  <c r="D69" i="3" s="1"/>
  <c r="C102" i="3"/>
  <c r="D102" i="3" s="1"/>
  <c r="C108" i="3"/>
  <c r="D108" i="3" s="1"/>
  <c r="C248" i="3"/>
  <c r="D248" i="3" s="1"/>
  <c r="C260" i="3"/>
  <c r="D260" i="3" s="1"/>
  <c r="C85" i="3"/>
  <c r="D85" i="3" s="1"/>
  <c r="C444" i="3"/>
  <c r="D444" i="3" s="1"/>
  <c r="C296" i="3"/>
  <c r="D296" i="3" s="1"/>
  <c r="C328" i="3"/>
  <c r="D328" i="3" s="1"/>
  <c r="C515" i="3"/>
  <c r="D515" i="3" s="1"/>
  <c r="C332" i="3"/>
  <c r="D332" i="3" s="1"/>
  <c r="C474" i="3"/>
  <c r="D474" i="3" s="1"/>
  <c r="C344" i="3"/>
  <c r="D344" i="3" s="1"/>
  <c r="C327" i="3"/>
  <c r="D327" i="3" s="1"/>
  <c r="C19" i="3"/>
  <c r="D19" i="3" s="1"/>
  <c r="C292" i="3"/>
  <c r="D292" i="3" s="1"/>
  <c r="C117" i="3"/>
  <c r="D117" i="3" s="1"/>
  <c r="C45" i="3"/>
  <c r="D45" i="3" s="1"/>
  <c r="C394" i="3"/>
  <c r="D394" i="3" s="1"/>
  <c r="C343" i="3"/>
  <c r="D343" i="3" s="1"/>
  <c r="C35" i="3"/>
  <c r="D35" i="3" s="1"/>
  <c r="C308" i="3"/>
  <c r="D308" i="3" s="1"/>
  <c r="C389" i="3"/>
  <c r="D389" i="3" s="1"/>
  <c r="C166" i="3"/>
  <c r="D166" i="3" s="1"/>
  <c r="C348" i="3"/>
  <c r="D348" i="3" s="1"/>
  <c r="C359" i="3"/>
  <c r="D359" i="3" s="1"/>
  <c r="C307" i="3"/>
  <c r="D307" i="3" s="1"/>
  <c r="C29" i="3"/>
  <c r="D29" i="3" s="1"/>
  <c r="C375" i="3"/>
  <c r="D375" i="3" s="1"/>
  <c r="C84" i="3"/>
  <c r="D84" i="3" s="1"/>
  <c r="C313" i="3"/>
  <c r="D313" i="3" s="1"/>
  <c r="C198" i="3"/>
  <c r="D198" i="3" s="1"/>
  <c r="C27" i="3"/>
  <c r="D27" i="3" s="1"/>
  <c r="C460" i="3"/>
  <c r="D460" i="3" s="1"/>
  <c r="C135" i="3"/>
  <c r="D135" i="3" s="1"/>
  <c r="C391" i="3"/>
  <c r="D391" i="3" s="1"/>
  <c r="C153" i="3"/>
  <c r="D153" i="3" s="1"/>
  <c r="C187" i="3"/>
  <c r="D187" i="3" s="1"/>
  <c r="C125" i="3"/>
  <c r="D125" i="3" s="1"/>
  <c r="C317" i="3"/>
  <c r="D317" i="3" s="1"/>
  <c r="C468" i="3"/>
  <c r="D468" i="3" s="1"/>
  <c r="C7" i="3"/>
  <c r="D7" i="3" s="1"/>
  <c r="C310" i="3"/>
  <c r="D310" i="3" s="1"/>
  <c r="C154" i="3"/>
  <c r="D154" i="3" s="1"/>
  <c r="C451" i="3"/>
  <c r="D451" i="3" s="1"/>
  <c r="C28" i="3"/>
  <c r="D28" i="3" s="1"/>
  <c r="C250" i="3"/>
  <c r="D250" i="3" s="1"/>
  <c r="C104" i="3"/>
  <c r="D104" i="3" s="1"/>
  <c r="C168" i="3"/>
  <c r="D168" i="3" s="1"/>
  <c r="C211" i="3"/>
  <c r="D211" i="3" s="1"/>
  <c r="C473" i="3"/>
  <c r="D473" i="3" s="1"/>
  <c r="C309" i="3"/>
  <c r="D309" i="3" s="1"/>
  <c r="C298" i="3"/>
  <c r="D298" i="3" s="1"/>
  <c r="C184" i="3"/>
  <c r="D184" i="3" s="1"/>
  <c r="C200" i="3"/>
  <c r="D200" i="3" s="1"/>
  <c r="C227" i="3"/>
  <c r="D227" i="3" s="1"/>
  <c r="C244" i="3"/>
  <c r="D244" i="3" s="1"/>
  <c r="C188" i="3"/>
  <c r="D188" i="3" s="1"/>
  <c r="C362" i="3"/>
  <c r="D362" i="3" s="1"/>
  <c r="C232" i="3"/>
  <c r="D232" i="3" s="1"/>
  <c r="C330" i="3"/>
  <c r="D330" i="3" s="1"/>
  <c r="C499" i="3"/>
  <c r="D499" i="3" s="1"/>
  <c r="C138" i="3"/>
  <c r="D138" i="3" s="1"/>
  <c r="C426" i="3"/>
  <c r="D426" i="3" s="1"/>
  <c r="C282" i="3"/>
  <c r="D282" i="3" s="1"/>
  <c r="C378" i="3"/>
  <c r="D378" i="3" s="1"/>
  <c r="C259" i="3"/>
  <c r="D259" i="3" s="1"/>
  <c r="C532" i="3"/>
  <c r="D532" i="3" s="1"/>
  <c r="C504" i="3"/>
  <c r="D504" i="3" s="1"/>
  <c r="C390" i="3"/>
  <c r="D390" i="3" s="1"/>
  <c r="C71" i="3"/>
  <c r="D71" i="3" s="1"/>
  <c r="C442" i="3"/>
  <c r="D442" i="3" s="1"/>
  <c r="C36" i="3"/>
  <c r="D36" i="3" s="1"/>
  <c r="C412" i="3"/>
  <c r="D412" i="3" s="1"/>
  <c r="C43" i="3"/>
  <c r="D43" i="3" s="1"/>
  <c r="C424" i="3"/>
  <c r="D424" i="3" s="1"/>
  <c r="C440" i="3"/>
  <c r="D440" i="3" s="1"/>
  <c r="C291" i="3"/>
  <c r="D291" i="3" s="1"/>
  <c r="C487" i="3"/>
  <c r="D487" i="3" s="1"/>
  <c r="C133" i="3"/>
  <c r="D133" i="3" s="1"/>
  <c r="C91" i="3"/>
  <c r="D91" i="3" s="1"/>
  <c r="C458" i="3"/>
  <c r="D458" i="3" s="1"/>
  <c r="C476" i="3"/>
  <c r="D476" i="3" s="1"/>
  <c r="C68" i="3"/>
  <c r="D68" i="3" s="1"/>
  <c r="C490" i="3"/>
  <c r="D490" i="3" s="1"/>
  <c r="C217" i="3"/>
  <c r="D217" i="3" s="1"/>
  <c r="C182" i="3"/>
  <c r="D182" i="3" s="1"/>
  <c r="C396" i="3"/>
  <c r="D396" i="3" s="1"/>
  <c r="C13" i="3"/>
  <c r="D13" i="3" s="1"/>
  <c r="C8" i="3"/>
  <c r="D8" i="3" s="1"/>
  <c r="C59" i="3"/>
  <c r="D59" i="3" s="1"/>
  <c r="C421" i="3"/>
  <c r="D421" i="3" s="1"/>
  <c r="C121" i="3"/>
  <c r="D121" i="3" s="1"/>
  <c r="C152" i="3"/>
  <c r="D152" i="3" s="1"/>
  <c r="C356" i="3"/>
  <c r="D356" i="3" s="1"/>
  <c r="C173" i="3"/>
  <c r="D173" i="3" s="1"/>
  <c r="C393" i="3"/>
  <c r="D393" i="3" s="1"/>
  <c r="C214" i="3"/>
  <c r="D214" i="3" s="1"/>
  <c r="C107" i="3"/>
  <c r="D107" i="3" s="1"/>
  <c r="C151" i="3"/>
  <c r="D151" i="3" s="1"/>
  <c r="C407" i="3"/>
  <c r="D407" i="3" s="1"/>
  <c r="C249" i="3"/>
  <c r="D249" i="3" s="1"/>
  <c r="C355" i="3"/>
  <c r="D355" i="3" s="1"/>
  <c r="C372" i="3"/>
  <c r="D372" i="3" s="1"/>
  <c r="C376" i="3"/>
  <c r="D376" i="3" s="1"/>
  <c r="C139" i="3"/>
  <c r="D139" i="3" s="1"/>
  <c r="C237" i="3"/>
  <c r="D237" i="3" s="1"/>
  <c r="C197" i="3"/>
  <c r="D197" i="3" s="1"/>
  <c r="C453" i="3"/>
  <c r="D453" i="3" s="1"/>
  <c r="C425" i="3"/>
  <c r="D425" i="3" s="1"/>
  <c r="C331" i="3"/>
  <c r="D331" i="3" s="1"/>
  <c r="C333" i="3"/>
  <c r="D333" i="3" s="1"/>
  <c r="C230" i="3"/>
  <c r="D230" i="3" s="1"/>
  <c r="C486" i="3"/>
  <c r="D486" i="3" s="1"/>
  <c r="C233" i="3"/>
  <c r="D233" i="3" s="1"/>
  <c r="C171" i="3"/>
  <c r="D171" i="3" s="1"/>
  <c r="C61" i="3"/>
  <c r="D61" i="3" s="1"/>
  <c r="C167" i="3"/>
  <c r="D167" i="3" s="1"/>
  <c r="C423" i="3"/>
  <c r="D423" i="3" s="1"/>
  <c r="C329" i="3"/>
  <c r="D329" i="3" s="1"/>
  <c r="C315" i="3"/>
  <c r="D315" i="3" s="1"/>
  <c r="C285" i="3"/>
  <c r="D285" i="3" s="1"/>
  <c r="C459" i="3"/>
  <c r="D459" i="3" s="1"/>
  <c r="C92" i="3"/>
  <c r="D92" i="3" s="1"/>
  <c r="C212" i="3"/>
  <c r="D212" i="3" s="1"/>
  <c r="C37" i="3"/>
  <c r="D37" i="3" s="1"/>
  <c r="C220" i="3"/>
  <c r="D220" i="3" s="1"/>
  <c r="C523" i="3"/>
  <c r="D523" i="3" s="1"/>
  <c r="C202" i="3"/>
  <c r="D202" i="3" s="1"/>
  <c r="C345" i="3"/>
  <c r="D345" i="3" s="1"/>
  <c r="C53" i="3"/>
  <c r="D53" i="3" s="1"/>
  <c r="C86" i="3"/>
  <c r="D86" i="3" s="1"/>
  <c r="C44" i="3"/>
  <c r="D44" i="3" s="1"/>
  <c r="C204" i="3"/>
  <c r="D204" i="3" s="1"/>
  <c r="C483" i="3"/>
  <c r="D483" i="3" s="1"/>
  <c r="C26" i="3"/>
  <c r="D26" i="3" s="1"/>
  <c r="C325" i="3"/>
  <c r="D325" i="3" s="1"/>
  <c r="C364" i="3"/>
  <c r="D364" i="3" s="1"/>
  <c r="C234" i="3"/>
  <c r="D234" i="3" s="1"/>
  <c r="C295" i="3"/>
  <c r="D295" i="3" s="1"/>
  <c r="C4" i="3"/>
  <c r="D4" i="3" s="1"/>
  <c r="C252" i="3"/>
  <c r="D252" i="3" s="1"/>
  <c r="C408" i="3"/>
  <c r="D408" i="3" s="1"/>
  <c r="C374" i="3"/>
  <c r="D374" i="3" s="1"/>
  <c r="C55" i="3"/>
  <c r="D55" i="3" s="1"/>
  <c r="C311" i="3"/>
  <c r="D311" i="3" s="1"/>
  <c r="C276" i="3"/>
  <c r="D276" i="3" s="1"/>
  <c r="C101" i="3"/>
  <c r="D101" i="3" s="1"/>
  <c r="C508" i="3"/>
  <c r="D508" i="3" s="1"/>
  <c r="C346" i="3"/>
  <c r="D346" i="3" s="1"/>
  <c r="C392" i="3"/>
  <c r="D392" i="3" s="1"/>
  <c r="C531" i="3"/>
  <c r="D531" i="3" s="1"/>
  <c r="C314" i="3"/>
  <c r="D314" i="3" s="1"/>
  <c r="C25" i="3"/>
  <c r="D25" i="3" s="1"/>
  <c r="C406" i="3"/>
  <c r="D406" i="3" s="1"/>
  <c r="C87" i="3"/>
  <c r="D87" i="3" s="1"/>
  <c r="C428" i="3"/>
  <c r="D428" i="3" s="1"/>
  <c r="C52" i="3"/>
  <c r="D52" i="3" s="1"/>
  <c r="C492" i="3"/>
  <c r="D492" i="3" s="1"/>
  <c r="C77" i="3"/>
  <c r="D77" i="3" s="1"/>
  <c r="C472" i="3"/>
  <c r="D472" i="3" s="1"/>
  <c r="C520" i="3"/>
  <c r="D520" i="3" s="1"/>
  <c r="C51" i="3"/>
  <c r="D51" i="3" s="1"/>
  <c r="C324" i="3"/>
  <c r="D324" i="3" s="1"/>
  <c r="C149" i="3"/>
  <c r="D149" i="3" s="1"/>
  <c r="C141" i="3"/>
  <c r="D141" i="3" s="1"/>
  <c r="C522" i="3"/>
  <c r="D522" i="3" s="1"/>
  <c r="C123" i="3"/>
  <c r="D123" i="3" s="1"/>
  <c r="C323" i="3"/>
  <c r="D323" i="3" s="1"/>
  <c r="C136" i="3"/>
  <c r="D136" i="3" s="1"/>
  <c r="C109" i="3"/>
  <c r="D109" i="3" s="1"/>
  <c r="C219" i="3"/>
  <c r="D219" i="3" s="1"/>
  <c r="C205" i="3"/>
  <c r="D205" i="3" s="1"/>
  <c r="C339" i="3"/>
  <c r="D339" i="3" s="1"/>
  <c r="C264" i="3"/>
  <c r="D264" i="3" s="1"/>
  <c r="C181" i="3"/>
  <c r="D181" i="3" s="1"/>
  <c r="C269" i="3"/>
  <c r="D269" i="3" s="1"/>
  <c r="C470" i="3"/>
  <c r="D470" i="3" s="1"/>
  <c r="C524" i="3"/>
  <c r="D524" i="3" s="1"/>
  <c r="C251" i="3"/>
  <c r="D251" i="3" s="1"/>
  <c r="C99" i="3"/>
  <c r="D99" i="3" s="1"/>
  <c r="C116" i="3"/>
  <c r="D116" i="3" s="1"/>
  <c r="C115" i="3"/>
  <c r="D115" i="3" s="1"/>
  <c r="C371" i="3"/>
  <c r="D371" i="3" s="1"/>
  <c r="C360" i="3"/>
  <c r="D360" i="3" s="1"/>
  <c r="C132" i="3"/>
  <c r="D132" i="3" s="1"/>
  <c r="C388" i="3"/>
  <c r="D388" i="3" s="1"/>
  <c r="C488" i="3"/>
  <c r="D488" i="3" s="1"/>
  <c r="C203" i="3"/>
  <c r="D203" i="3" s="1"/>
  <c r="C301" i="3"/>
  <c r="D301" i="3" s="1"/>
  <c r="C213" i="3"/>
  <c r="D213" i="3" s="1"/>
  <c r="C469" i="3"/>
  <c r="D469" i="3" s="1"/>
  <c r="C505" i="3"/>
  <c r="D505" i="3" s="1"/>
  <c r="C411" i="3"/>
  <c r="D411" i="3" s="1"/>
  <c r="C397" i="3"/>
  <c r="D397" i="3" s="1"/>
  <c r="C246" i="3"/>
  <c r="D246" i="3" s="1"/>
  <c r="C502" i="3"/>
  <c r="D502" i="3" s="1"/>
  <c r="C297" i="3"/>
  <c r="D297" i="3" s="1"/>
  <c r="C235" i="3"/>
  <c r="D235" i="3" s="1"/>
  <c r="C93" i="3"/>
  <c r="D93" i="3" s="1"/>
  <c r="C183" i="3"/>
  <c r="D183" i="3" s="1"/>
  <c r="C439" i="3"/>
  <c r="D439" i="3" s="1"/>
  <c r="C409" i="3"/>
  <c r="D409" i="3" s="1"/>
  <c r="C379" i="3"/>
  <c r="D379" i="3" s="1"/>
  <c r="C349" i="3"/>
  <c r="D349" i="3" s="1"/>
  <c r="C247" i="3"/>
  <c r="D247" i="3" s="1"/>
  <c r="C195" i="3"/>
  <c r="D195" i="3" s="1"/>
  <c r="C361" i="3"/>
  <c r="D361" i="3" s="1"/>
  <c r="C120" i="3"/>
  <c r="D120" i="3" s="1"/>
  <c r="C70" i="3"/>
  <c r="D70" i="3" s="1"/>
  <c r="C106" i="3"/>
  <c r="D106" i="3" s="1"/>
  <c r="C263" i="3"/>
  <c r="D263" i="3" s="1"/>
  <c r="C467" i="3"/>
  <c r="D467" i="3" s="1"/>
  <c r="C484" i="3"/>
  <c r="D484" i="3" s="1"/>
  <c r="C216" i="3"/>
  <c r="D216" i="3" s="1"/>
  <c r="C342" i="3"/>
  <c r="D342" i="3" s="1"/>
  <c r="C23" i="3"/>
  <c r="D23" i="3" s="1"/>
  <c r="C266" i="3"/>
  <c r="D266" i="3" s="1"/>
  <c r="C500" i="3"/>
  <c r="D500" i="3" s="1"/>
  <c r="C312" i="3"/>
  <c r="D312" i="3" s="1"/>
  <c r="C358" i="3"/>
  <c r="D358" i="3" s="1"/>
  <c r="C39" i="3"/>
  <c r="D39" i="3" s="1"/>
  <c r="C268" i="3"/>
  <c r="D268" i="3" s="1"/>
  <c r="C243" i="3"/>
  <c r="D243" i="3" s="1"/>
  <c r="C516" i="3"/>
  <c r="D516" i="3" s="1"/>
  <c r="C341" i="3"/>
  <c r="D341" i="3" s="1"/>
  <c r="C118" i="3"/>
  <c r="D118" i="3" s="1"/>
  <c r="C172" i="3"/>
  <c r="D172" i="3" s="1"/>
  <c r="C316" i="3"/>
  <c r="D316" i="3" s="1"/>
  <c r="C20" i="3"/>
  <c r="D20" i="3" s="1"/>
  <c r="C218" i="3"/>
  <c r="D218" i="3" s="1"/>
  <c r="C357" i="3"/>
  <c r="D357" i="3" s="1"/>
  <c r="C134" i="3"/>
  <c r="D134" i="3" s="1"/>
  <c r="C236" i="3"/>
  <c r="D236" i="3" s="1"/>
  <c r="C380" i="3"/>
  <c r="D380" i="3" s="1"/>
  <c r="C275" i="3"/>
  <c r="D275" i="3" s="1"/>
  <c r="C517" i="3"/>
  <c r="D517" i="3" s="1"/>
  <c r="C373" i="3"/>
  <c r="D373" i="3" s="1"/>
  <c r="C150" i="3"/>
  <c r="D150" i="3" s="1"/>
  <c r="C300" i="3"/>
  <c r="D300" i="3" s="1"/>
  <c r="C506" i="3"/>
  <c r="D506" i="3" s="1"/>
  <c r="C533" i="3"/>
  <c r="D533" i="3" s="1"/>
  <c r="C410" i="3"/>
  <c r="D410" i="3" s="1"/>
  <c r="C137" i="3"/>
  <c r="D137" i="3" s="1"/>
  <c r="C422" i="3"/>
  <c r="D422" i="3" s="1"/>
  <c r="C103" i="3"/>
  <c r="D103" i="3" s="1"/>
  <c r="C11" i="3"/>
  <c r="D11" i="3" s="1"/>
  <c r="C471" i="3"/>
  <c r="D471" i="3" s="1"/>
  <c r="C24" i="3"/>
  <c r="D24" i="3" s="1"/>
  <c r="C405" i="3"/>
  <c r="D405" i="3" s="1"/>
  <c r="C155" i="3"/>
  <c r="D155" i="3" s="1"/>
  <c r="C438" i="3"/>
  <c r="D438" i="3" s="1"/>
  <c r="C73" i="3"/>
  <c r="D73" i="3" s="1"/>
  <c r="C119" i="3"/>
  <c r="D119" i="3" s="1"/>
  <c r="C9" i="3"/>
  <c r="D9" i="3" s="1"/>
  <c r="C67" i="3"/>
  <c r="D67" i="3" s="1"/>
  <c r="C340" i="3"/>
  <c r="D340" i="3" s="1"/>
  <c r="C165" i="3"/>
  <c r="D165" i="3" s="1"/>
  <c r="C454" i="3"/>
  <c r="D454" i="3" s="1"/>
  <c r="C83" i="3"/>
  <c r="D83" i="3" s="1"/>
  <c r="C100" i="3"/>
  <c r="D100" i="3" s="1"/>
  <c r="C75" i="3"/>
  <c r="D75" i="3" s="1"/>
  <c r="C437" i="3"/>
  <c r="D437" i="3" s="1"/>
  <c r="C267" i="3"/>
  <c r="D267" i="3" s="1"/>
  <c r="C185" i="3"/>
  <c r="D185" i="3" s="1"/>
  <c r="C221" i="3"/>
  <c r="D221" i="3" s="1"/>
  <c r="C280" i="3"/>
  <c r="D280" i="3" s="1"/>
  <c r="C131" i="3"/>
  <c r="D131" i="3" s="1"/>
  <c r="C387" i="3"/>
  <c r="D387" i="3" s="1"/>
  <c r="C456" i="3"/>
  <c r="D456" i="3" s="1"/>
  <c r="C148" i="3"/>
  <c r="D148" i="3" s="1"/>
  <c r="C404" i="3"/>
  <c r="D404" i="3" s="1"/>
  <c r="C57" i="3"/>
  <c r="D57" i="3" s="1"/>
  <c r="C283" i="3"/>
  <c r="D283" i="3" s="1"/>
  <c r="C365" i="3"/>
  <c r="D365" i="3" s="1"/>
  <c r="C229" i="3"/>
  <c r="D229" i="3" s="1"/>
  <c r="C485" i="3"/>
  <c r="D485" i="3" s="1"/>
  <c r="C10" i="3"/>
  <c r="D10" i="3" s="1"/>
  <c r="C475" i="3"/>
  <c r="D475" i="3" s="1"/>
  <c r="C6" i="3"/>
  <c r="D6" i="3" s="1"/>
  <c r="C262" i="3"/>
  <c r="D262" i="3" s="1"/>
  <c r="C518" i="3"/>
  <c r="D518" i="3" s="1"/>
  <c r="C377" i="3"/>
  <c r="D377" i="3" s="1"/>
  <c r="C299" i="3"/>
  <c r="D299" i="3" s="1"/>
  <c r="C157" i="3"/>
  <c r="D157" i="3" s="1"/>
  <c r="C199" i="3"/>
  <c r="D199" i="3" s="1"/>
  <c r="C455" i="3"/>
  <c r="D455" i="3" s="1"/>
  <c r="C489" i="3"/>
  <c r="D489" i="3" s="1"/>
  <c r="C443" i="3"/>
  <c r="D443" i="3" s="1"/>
  <c r="C2" i="3"/>
  <c r="D2" i="3" s="1"/>
  <c r="C536" i="3"/>
  <c r="C552" i="3"/>
  <c r="C568" i="3"/>
  <c r="C584" i="3"/>
  <c r="C600" i="3"/>
  <c r="C616" i="3"/>
  <c r="C30" i="3"/>
  <c r="D30" i="3" s="1"/>
  <c r="C79" i="3"/>
  <c r="D79" i="3" s="1"/>
  <c r="C128" i="3"/>
  <c r="D128" i="3" s="1"/>
  <c r="C177" i="3"/>
  <c r="D177" i="3" s="1"/>
  <c r="C226" i="3"/>
  <c r="D226" i="3" s="1"/>
  <c r="C286" i="3"/>
  <c r="D286" i="3" s="1"/>
  <c r="C335" i="3"/>
  <c r="D335" i="3" s="1"/>
  <c r="C383" i="3"/>
  <c r="D383" i="3" s="1"/>
  <c r="C432" i="3"/>
  <c r="D432" i="3" s="1"/>
  <c r="C478" i="3"/>
  <c r="D478" i="3" s="1"/>
  <c r="C514" i="3"/>
  <c r="D514" i="3" s="1"/>
  <c r="C80" i="3"/>
  <c r="D80" i="3" s="1"/>
  <c r="C178" i="3"/>
  <c r="D178" i="3" s="1"/>
  <c r="C287" i="3"/>
  <c r="D287" i="3" s="1"/>
  <c r="C384" i="3"/>
  <c r="D384" i="3" s="1"/>
  <c r="C479" i="3"/>
  <c r="D479" i="3" s="1"/>
  <c r="C144" i="3"/>
  <c r="D144" i="3" s="1"/>
  <c r="C351" i="3"/>
  <c r="D351" i="3" s="1"/>
  <c r="C493" i="3"/>
  <c r="D493" i="3" s="1"/>
  <c r="C542" i="3"/>
  <c r="C622" i="3"/>
  <c r="C352" i="3"/>
  <c r="D352" i="3" s="1"/>
  <c r="C591" i="3"/>
  <c r="C537" i="3"/>
  <c r="C553" i="3"/>
  <c r="C569" i="3"/>
  <c r="C585" i="3"/>
  <c r="C601" i="3"/>
  <c r="C617" i="3"/>
  <c r="C31" i="3"/>
  <c r="D31" i="3" s="1"/>
  <c r="C129" i="3"/>
  <c r="D129" i="3" s="1"/>
  <c r="C238" i="3"/>
  <c r="D238" i="3" s="1"/>
  <c r="C336" i="3"/>
  <c r="D336" i="3" s="1"/>
  <c r="C433" i="3"/>
  <c r="D433" i="3" s="1"/>
  <c r="C525" i="3"/>
  <c r="D525" i="3" s="1"/>
  <c r="C46" i="3"/>
  <c r="D46" i="3" s="1"/>
  <c r="C242" i="3"/>
  <c r="D242" i="3" s="1"/>
  <c r="C447" i="3"/>
  <c r="D447" i="3" s="1"/>
  <c r="C558" i="3"/>
  <c r="C606" i="3"/>
  <c r="C145" i="3"/>
  <c r="D145" i="3" s="1"/>
  <c r="C303" i="3"/>
  <c r="D303" i="3" s="1"/>
  <c r="C494" i="3"/>
  <c r="D494" i="3" s="1"/>
  <c r="C559" i="3"/>
  <c r="C538" i="3"/>
  <c r="C554" i="3"/>
  <c r="C570" i="3"/>
  <c r="C586" i="3"/>
  <c r="C602" i="3"/>
  <c r="C618" i="3"/>
  <c r="C32" i="3"/>
  <c r="D32" i="3" s="1"/>
  <c r="C81" i="3"/>
  <c r="D81" i="3" s="1"/>
  <c r="C130" i="3"/>
  <c r="D130" i="3" s="1"/>
  <c r="C190" i="3"/>
  <c r="D190" i="3" s="1"/>
  <c r="C239" i="3"/>
  <c r="D239" i="3" s="1"/>
  <c r="C288" i="3"/>
  <c r="D288" i="3" s="1"/>
  <c r="C337" i="3"/>
  <c r="D337" i="3" s="1"/>
  <c r="C385" i="3"/>
  <c r="D385" i="3" s="1"/>
  <c r="C434" i="3"/>
  <c r="D434" i="3" s="1"/>
  <c r="C480" i="3"/>
  <c r="D480" i="3" s="1"/>
  <c r="C526" i="3"/>
  <c r="D526" i="3" s="1"/>
  <c r="C34" i="3"/>
  <c r="D34" i="3" s="1"/>
  <c r="C241" i="3"/>
  <c r="D241" i="3" s="1"/>
  <c r="C350" i="3"/>
  <c r="D350" i="3" s="1"/>
  <c r="C446" i="3"/>
  <c r="D446" i="3" s="1"/>
  <c r="C528" i="3"/>
  <c r="D528" i="3" s="1"/>
  <c r="C541" i="3"/>
  <c r="C605" i="3"/>
  <c r="C193" i="3"/>
  <c r="D193" i="3" s="1"/>
  <c r="C399" i="3"/>
  <c r="D399" i="3" s="1"/>
  <c r="C590" i="3"/>
  <c r="C96" i="3"/>
  <c r="D96" i="3" s="1"/>
  <c r="C194" i="3"/>
  <c r="D194" i="3" s="1"/>
  <c r="C400" i="3"/>
  <c r="D400" i="3" s="1"/>
  <c r="C530" i="3"/>
  <c r="D530" i="3" s="1"/>
  <c r="C575" i="3"/>
  <c r="C607" i="3"/>
  <c r="C539" i="3"/>
  <c r="C555" i="3"/>
  <c r="C571" i="3"/>
  <c r="C587" i="3"/>
  <c r="C603" i="3"/>
  <c r="C619" i="3"/>
  <c r="C33" i="3"/>
  <c r="D33" i="3" s="1"/>
  <c r="C82" i="3"/>
  <c r="D82" i="3" s="1"/>
  <c r="C142" i="3"/>
  <c r="D142" i="3" s="1"/>
  <c r="C191" i="3"/>
  <c r="D191" i="3" s="1"/>
  <c r="C240" i="3"/>
  <c r="D240" i="3" s="1"/>
  <c r="C289" i="3"/>
  <c r="D289" i="3" s="1"/>
  <c r="C338" i="3"/>
  <c r="D338" i="3" s="1"/>
  <c r="C386" i="3"/>
  <c r="D386" i="3" s="1"/>
  <c r="C445" i="3"/>
  <c r="D445" i="3" s="1"/>
  <c r="C481" i="3"/>
  <c r="D481" i="3" s="1"/>
  <c r="C527" i="3"/>
  <c r="D527" i="3" s="1"/>
  <c r="C94" i="3"/>
  <c r="D94" i="3" s="1"/>
  <c r="C573" i="3"/>
  <c r="C95" i="3"/>
  <c r="D95" i="3" s="1"/>
  <c r="C302" i="3"/>
  <c r="D302" i="3" s="1"/>
  <c r="C529" i="3"/>
  <c r="D529" i="3" s="1"/>
  <c r="C574" i="3"/>
  <c r="C47" i="3"/>
  <c r="D47" i="3" s="1"/>
  <c r="C254" i="3"/>
  <c r="D254" i="3" s="1"/>
  <c r="C448" i="3"/>
  <c r="D448" i="3" s="1"/>
  <c r="C543" i="3"/>
  <c r="C623" i="3"/>
  <c r="C540" i="3"/>
  <c r="C556" i="3"/>
  <c r="C572" i="3"/>
  <c r="C588" i="3"/>
  <c r="C604" i="3"/>
  <c r="C620" i="3"/>
  <c r="C143" i="3"/>
  <c r="D143" i="3" s="1"/>
  <c r="C192" i="3"/>
  <c r="D192" i="3" s="1"/>
  <c r="C290" i="3"/>
  <c r="D290" i="3" s="1"/>
  <c r="C398" i="3"/>
  <c r="D398" i="3" s="1"/>
  <c r="C482" i="3"/>
  <c r="D482" i="3" s="1"/>
  <c r="C557" i="3"/>
  <c r="C589" i="3"/>
  <c r="C621" i="3"/>
  <c r="C544" i="3"/>
  <c r="C576" i="3"/>
  <c r="C608" i="3"/>
  <c r="C16" i="3"/>
  <c r="D16" i="3" s="1"/>
  <c r="C112" i="3"/>
  <c r="D112" i="3" s="1"/>
  <c r="C208" i="3"/>
  <c r="D208" i="3" s="1"/>
  <c r="C304" i="3"/>
  <c r="D304" i="3" s="1"/>
  <c r="C381" i="3"/>
  <c r="D381" i="3" s="1"/>
  <c r="C464" i="3"/>
  <c r="D464" i="3" s="1"/>
  <c r="C545" i="3"/>
  <c r="C577" i="3"/>
  <c r="C609" i="3"/>
  <c r="C17" i="3"/>
  <c r="D17" i="3" s="1"/>
  <c r="C113" i="3"/>
  <c r="D113" i="3" s="1"/>
  <c r="C209" i="3"/>
  <c r="D209" i="3" s="1"/>
  <c r="C305" i="3"/>
  <c r="D305" i="3" s="1"/>
  <c r="C382" i="3"/>
  <c r="D382" i="3" s="1"/>
  <c r="C465" i="3"/>
  <c r="D465" i="3" s="1"/>
  <c r="C257" i="3"/>
  <c r="D257" i="3" s="1"/>
  <c r="C562" i="3"/>
  <c r="C431" i="3"/>
  <c r="D431" i="3" s="1"/>
  <c r="C366" i="3"/>
  <c r="D366" i="3" s="1"/>
  <c r="C367" i="3"/>
  <c r="D367" i="3" s="1"/>
  <c r="C629" i="3"/>
  <c r="C368" i="3"/>
  <c r="D368" i="3" s="1"/>
  <c r="C566" i="3"/>
  <c r="C14" i="3"/>
  <c r="D14" i="3" s="1"/>
  <c r="C567" i="3"/>
  <c r="C15" i="3"/>
  <c r="D15" i="3" s="1"/>
  <c r="C370" i="3"/>
  <c r="D370" i="3" s="1"/>
  <c r="C258" i="3"/>
  <c r="D258" i="3" s="1"/>
  <c r="C595" i="3"/>
  <c r="C449" i="3"/>
  <c r="D449" i="3" s="1"/>
  <c r="C513" i="3"/>
  <c r="D513" i="3" s="1"/>
  <c r="C272" i="3"/>
  <c r="D272" i="3" s="1"/>
  <c r="C206" i="3"/>
  <c r="D206" i="3" s="1"/>
  <c r="C599" i="3"/>
  <c r="C463" i="3"/>
  <c r="D463" i="3" s="1"/>
  <c r="C546" i="3"/>
  <c r="C578" i="3"/>
  <c r="C610" i="3"/>
  <c r="C18" i="3"/>
  <c r="D18" i="3" s="1"/>
  <c r="C114" i="3"/>
  <c r="D114" i="3" s="1"/>
  <c r="C210" i="3"/>
  <c r="D210" i="3" s="1"/>
  <c r="C306" i="3"/>
  <c r="D306" i="3" s="1"/>
  <c r="C401" i="3"/>
  <c r="D401" i="3" s="1"/>
  <c r="C466" i="3"/>
  <c r="D466" i="3" s="1"/>
  <c r="C320" i="3"/>
  <c r="D320" i="3" s="1"/>
  <c r="C550" i="3"/>
  <c r="C158" i="3"/>
  <c r="D158" i="3" s="1"/>
  <c r="C497" i="3"/>
  <c r="D497" i="3" s="1"/>
  <c r="C615" i="3"/>
  <c r="C159" i="3"/>
  <c r="D159" i="3" s="1"/>
  <c r="C498" i="3"/>
  <c r="D498" i="3" s="1"/>
  <c r="C64" i="3"/>
  <c r="D64" i="3" s="1"/>
  <c r="C418" i="3"/>
  <c r="D418" i="3" s="1"/>
  <c r="C625" i="3"/>
  <c r="C161" i="3"/>
  <c r="D161" i="3" s="1"/>
  <c r="C594" i="3"/>
  <c r="C66" i="3"/>
  <c r="D66" i="3" s="1"/>
  <c r="C627" i="3"/>
  <c r="C174" i="3"/>
  <c r="D174" i="3" s="1"/>
  <c r="C450" i="3"/>
  <c r="D450" i="3" s="1"/>
  <c r="C98" i="3"/>
  <c r="D98" i="3" s="1"/>
  <c r="C273" i="3"/>
  <c r="D273" i="3" s="1"/>
  <c r="C207" i="3"/>
  <c r="D207" i="3" s="1"/>
  <c r="C547" i="3"/>
  <c r="C579" i="3"/>
  <c r="C611" i="3"/>
  <c r="C48" i="3"/>
  <c r="D48" i="3" s="1"/>
  <c r="C126" i="3"/>
  <c r="D126" i="3" s="1"/>
  <c r="C222" i="3"/>
  <c r="D222" i="3" s="1"/>
  <c r="C318" i="3"/>
  <c r="D318" i="3" s="1"/>
  <c r="C402" i="3"/>
  <c r="D402" i="3" s="1"/>
  <c r="C477" i="3"/>
  <c r="D477" i="3" s="1"/>
  <c r="C127" i="3"/>
  <c r="D127" i="3" s="1"/>
  <c r="C319" i="3"/>
  <c r="D319" i="3" s="1"/>
  <c r="C414" i="3"/>
  <c r="D414" i="3" s="1"/>
  <c r="C146" i="3"/>
  <c r="D146" i="3" s="1"/>
  <c r="C496" i="3"/>
  <c r="D496" i="3" s="1"/>
  <c r="C614" i="3"/>
  <c r="C62" i="3"/>
  <c r="D62" i="3" s="1"/>
  <c r="C416" i="3"/>
  <c r="D416" i="3" s="1"/>
  <c r="C63" i="3"/>
  <c r="D63" i="3" s="1"/>
  <c r="C417" i="3"/>
  <c r="D417" i="3" s="1"/>
  <c r="C624" i="3"/>
  <c r="C160" i="3"/>
  <c r="D160" i="3" s="1"/>
  <c r="C509" i="3"/>
  <c r="D509" i="3" s="1"/>
  <c r="C65" i="3"/>
  <c r="D65" i="3" s="1"/>
  <c r="C510" i="3"/>
  <c r="D510" i="3" s="1"/>
  <c r="C162" i="3"/>
  <c r="D162" i="3" s="1"/>
  <c r="C512" i="3"/>
  <c r="D512" i="3" s="1"/>
  <c r="C628" i="3"/>
  <c r="C175" i="3"/>
  <c r="D175" i="3" s="1"/>
  <c r="C597" i="3"/>
  <c r="C548" i="3"/>
  <c r="C580" i="3"/>
  <c r="C612" i="3"/>
  <c r="C49" i="3"/>
  <c r="D49" i="3" s="1"/>
  <c r="C223" i="3"/>
  <c r="D223" i="3" s="1"/>
  <c r="C495" i="3"/>
  <c r="D495" i="3" s="1"/>
  <c r="C224" i="3"/>
  <c r="D224" i="3" s="1"/>
  <c r="C582" i="3"/>
  <c r="C321" i="3"/>
  <c r="D321" i="3" s="1"/>
  <c r="C583" i="3"/>
  <c r="C322" i="3"/>
  <c r="D322" i="3" s="1"/>
  <c r="C592" i="3"/>
  <c r="C256" i="3"/>
  <c r="D256" i="3" s="1"/>
  <c r="C561" i="3"/>
  <c r="C353" i="3"/>
  <c r="D353" i="3" s="1"/>
  <c r="C354" i="3"/>
  <c r="D354" i="3" s="1"/>
  <c r="C563" i="3"/>
  <c r="C270" i="3"/>
  <c r="D270" i="3" s="1"/>
  <c r="C596" i="3"/>
  <c r="C97" i="3"/>
  <c r="D97" i="3" s="1"/>
  <c r="C176" i="3"/>
  <c r="D176" i="3" s="1"/>
  <c r="C369" i="3"/>
  <c r="D369" i="3" s="1"/>
  <c r="C111" i="3"/>
  <c r="D111" i="3" s="1"/>
  <c r="C549" i="3"/>
  <c r="C581" i="3"/>
  <c r="C613" i="3"/>
  <c r="C50" i="3"/>
  <c r="D50" i="3" s="1"/>
  <c r="C415" i="3"/>
  <c r="D415" i="3" s="1"/>
  <c r="C225" i="3"/>
  <c r="D225" i="3" s="1"/>
  <c r="C551" i="3"/>
  <c r="C255" i="3"/>
  <c r="D255" i="3" s="1"/>
  <c r="C560" i="3"/>
  <c r="C334" i="3"/>
  <c r="D334" i="3" s="1"/>
  <c r="C593" i="3"/>
  <c r="C430" i="3"/>
  <c r="D430" i="3" s="1"/>
  <c r="C626" i="3"/>
  <c r="C511" i="3"/>
  <c r="D511" i="3" s="1"/>
  <c r="C78" i="3"/>
  <c r="D78" i="3" s="1"/>
  <c r="C564" i="3"/>
  <c r="C271" i="3"/>
  <c r="D271" i="3" s="1"/>
  <c r="C565" i="3"/>
  <c r="C461" i="3"/>
  <c r="D461" i="3" s="1"/>
  <c r="C598" i="3"/>
  <c r="C110" i="3"/>
  <c r="D110" i="3" s="1"/>
  <c r="C462" i="3"/>
  <c r="D462" i="3" s="1"/>
  <c r="C274" i="3"/>
  <c r="D274" i="3" s="1"/>
  <c r="R2" i="1"/>
  <c r="L134" i="3" l="1"/>
  <c r="H134" i="3" s="1" a="1"/>
  <c r="H134" i="3" s="1"/>
  <c r="C3" i="3"/>
  <c r="D3" i="3" s="1"/>
  <c r="L135" i="3" l="1"/>
  <c r="H135" i="3" s="1" a="1"/>
  <c r="H135" i="3" s="1"/>
  <c r="L136" i="3" l="1"/>
  <c r="H136" i="3" s="1" a="1"/>
  <c r="H136" i="3" s="1"/>
  <c r="L137" i="3" l="1"/>
  <c r="H137" i="3" s="1" a="1"/>
  <c r="H137" i="3" s="1"/>
  <c r="L138" i="3" l="1"/>
  <c r="H138" i="3" s="1" a="1"/>
  <c r="H138" i="3" s="1"/>
  <c r="L139" i="3" l="1"/>
  <c r="H139" i="3" s="1" a="1"/>
  <c r="H139" i="3" s="1"/>
  <c r="L140" i="3" l="1"/>
  <c r="H140" i="3" s="1" a="1"/>
  <c r="H140" i="3" s="1"/>
  <c r="L141" i="3" l="1"/>
  <c r="H141" i="3" s="1" a="1"/>
  <c r="H141" i="3" s="1"/>
  <c r="L142" i="3" l="1"/>
  <c r="H142" i="3" s="1" a="1"/>
  <c r="H142" i="3" s="1"/>
  <c r="L143" i="3" l="1"/>
  <c r="H143" i="3" s="1" a="1"/>
  <c r="H143" i="3" s="1"/>
  <c r="L144" i="3" l="1"/>
  <c r="H144" i="3" s="1" a="1"/>
  <c r="H144" i="3" s="1"/>
  <c r="L145" i="3" l="1"/>
  <c r="H145" i="3" s="1" a="1"/>
  <c r="H145" i="3" s="1"/>
  <c r="L146" i="3" l="1"/>
  <c r="H146" i="3" s="1" a="1"/>
  <c r="H146" i="3" s="1"/>
  <c r="L147" i="3" l="1"/>
  <c r="H147" i="3" s="1" a="1"/>
  <c r="H147" i="3" s="1"/>
  <c r="L148" i="3" l="1"/>
  <c r="H148" i="3" s="1" a="1"/>
  <c r="H148" i="3" s="1"/>
  <c r="L149" i="3" l="1"/>
  <c r="H149" i="3" s="1" a="1"/>
  <c r="H149" i="3" s="1"/>
  <c r="L150" i="3" l="1"/>
  <c r="H150" i="3" s="1" a="1"/>
  <c r="H150" i="3" s="1"/>
  <c r="L151" i="3" l="1"/>
  <c r="H151" i="3" s="1" a="1"/>
  <c r="H151" i="3" s="1"/>
  <c r="L152" i="3" l="1"/>
  <c r="H152" i="3" s="1" a="1"/>
  <c r="H152" i="3" s="1"/>
  <c r="L153" i="3" l="1"/>
  <c r="H153" i="3" s="1" a="1"/>
  <c r="H153" i="3" s="1"/>
  <c r="L154" i="3" l="1"/>
  <c r="H154" i="3" s="1" a="1"/>
  <c r="H154" i="3" s="1"/>
  <c r="L155" i="3" l="1"/>
  <c r="H155" i="3" s="1" a="1"/>
  <c r="H155" i="3" s="1"/>
  <c r="L156" i="3" l="1"/>
  <c r="H156" i="3" s="1" a="1"/>
  <c r="H156" i="3" s="1"/>
  <c r="L157" i="3" l="1"/>
  <c r="H157" i="3" s="1" a="1"/>
  <c r="H157" i="3" s="1"/>
  <c r="L158" i="3" l="1"/>
  <c r="H158" i="3" s="1" a="1"/>
  <c r="H158" i="3" s="1"/>
  <c r="L159" i="3" l="1"/>
  <c r="H159" i="3" s="1" a="1"/>
  <c r="H159" i="3" s="1"/>
  <c r="L160" i="3" l="1"/>
  <c r="H160" i="3" s="1" a="1"/>
  <c r="H160" i="3" s="1"/>
  <c r="L161" i="3" l="1"/>
  <c r="H161" i="3" s="1" a="1"/>
  <c r="H161" i="3" s="1"/>
  <c r="L162" i="3" l="1"/>
  <c r="H162" i="3" s="1" a="1"/>
  <c r="H162" i="3" s="1"/>
  <c r="L163" i="3" l="1"/>
  <c r="H163" i="3" s="1" a="1"/>
  <c r="H163" i="3" s="1"/>
  <c r="L164" i="3" l="1"/>
  <c r="H164" i="3" s="1" a="1"/>
  <c r="H164" i="3" s="1"/>
  <c r="L165" i="3" l="1"/>
  <c r="H165" i="3" s="1" a="1"/>
  <c r="H165" i="3" s="1"/>
  <c r="L166" i="3" l="1"/>
  <c r="H166" i="3" s="1" a="1"/>
  <c r="H166" i="3" s="1"/>
  <c r="L167" i="3" l="1"/>
  <c r="H167" i="3" s="1" a="1"/>
  <c r="H167" i="3" s="1"/>
  <c r="L168" i="3" l="1"/>
  <c r="H168" i="3" s="1" a="1"/>
  <c r="H168" i="3" s="1"/>
  <c r="L169" i="3" l="1"/>
  <c r="H169" i="3" s="1" a="1"/>
  <c r="H169" i="3" s="1"/>
  <c r="L170" i="3" l="1"/>
  <c r="H170" i="3" s="1" a="1"/>
  <c r="H170" i="3" s="1"/>
  <c r="L171" i="3" l="1"/>
  <c r="H171" i="3" s="1" a="1"/>
  <c r="H171" i="3" s="1"/>
  <c r="L172" i="3" l="1"/>
  <c r="H172" i="3" s="1" a="1"/>
  <c r="H172" i="3" s="1"/>
  <c r="L173" i="3" l="1"/>
  <c r="H173" i="3" s="1" a="1"/>
  <c r="H173" i="3" s="1"/>
  <c r="L174" i="3" l="1"/>
  <c r="H174" i="3" s="1" a="1"/>
  <c r="H174" i="3" s="1"/>
  <c r="L175" i="3" l="1"/>
  <c r="H175" i="3" s="1" a="1"/>
  <c r="H175" i="3" s="1"/>
  <c r="L176" i="3" l="1"/>
  <c r="H176" i="3" s="1" a="1"/>
  <c r="H176" i="3" s="1"/>
  <c r="L177" i="3" l="1"/>
  <c r="H177" i="3" s="1" a="1"/>
  <c r="H177" i="3" s="1"/>
  <c r="L178" i="3" l="1"/>
  <c r="H178" i="3" s="1" a="1"/>
  <c r="H178" i="3" s="1"/>
  <c r="L179" i="3" l="1"/>
  <c r="H179" i="3" s="1" a="1"/>
  <c r="H179" i="3" s="1"/>
  <c r="L180" i="3" l="1"/>
  <c r="H180" i="3" s="1" a="1"/>
  <c r="H180" i="3" s="1"/>
  <c r="L181" i="3" l="1"/>
  <c r="H181" i="3" s="1" a="1"/>
  <c r="H181" i="3" s="1"/>
  <c r="L182" i="3" l="1"/>
  <c r="H182" i="3" s="1" a="1"/>
  <c r="H182" i="3" s="1"/>
  <c r="L183" i="3" l="1"/>
  <c r="H183" i="3" s="1" a="1"/>
  <c r="H183" i="3" s="1"/>
  <c r="L184" i="3" l="1"/>
  <c r="H184" i="3" s="1" a="1"/>
  <c r="H184" i="3" s="1"/>
  <c r="L185" i="3" l="1"/>
  <c r="H185" i="3" s="1" a="1"/>
  <c r="H185" i="3" s="1"/>
  <c r="L186" i="3" l="1"/>
  <c r="H186" i="3" s="1" a="1"/>
  <c r="H186" i="3" s="1"/>
  <c r="L187" i="3" l="1"/>
  <c r="H187" i="3" s="1" a="1"/>
  <c r="H187" i="3" s="1"/>
  <c r="L188" i="3" l="1"/>
  <c r="H188" i="3" s="1" a="1"/>
  <c r="H188" i="3" s="1"/>
  <c r="L189" i="3" l="1"/>
  <c r="H189" i="3" s="1" a="1"/>
  <c r="H189" i="3" s="1"/>
  <c r="L190" i="3" l="1"/>
  <c r="H190" i="3" s="1" a="1"/>
  <c r="H190" i="3" s="1"/>
  <c r="L191" i="3" l="1"/>
  <c r="H191" i="3" s="1" a="1"/>
  <c r="H191" i="3" s="1"/>
  <c r="L192" i="3" l="1"/>
  <c r="H192" i="3" s="1" a="1"/>
  <c r="H192" i="3" s="1"/>
  <c r="L193" i="3" l="1"/>
  <c r="H193" i="3" s="1" a="1"/>
  <c r="H193" i="3" s="1"/>
  <c r="L194" i="3" l="1"/>
  <c r="H194" i="3" s="1" a="1"/>
  <c r="H194" i="3" s="1"/>
  <c r="L195" i="3" l="1"/>
  <c r="H195" i="3" s="1" a="1"/>
  <c r="H195" i="3" s="1"/>
  <c r="L196" i="3" l="1"/>
  <c r="H196" i="3" s="1" a="1"/>
  <c r="H196" i="3" s="1"/>
  <c r="L197" i="3" l="1"/>
  <c r="H197" i="3" s="1" a="1"/>
  <c r="H197" i="3" s="1"/>
  <c r="L198" i="3" l="1"/>
  <c r="H198" i="3" s="1" a="1"/>
  <c r="H198" i="3" s="1"/>
  <c r="L199" i="3" l="1"/>
  <c r="H199" i="3" s="1" a="1"/>
  <c r="H199" i="3" s="1"/>
  <c r="L200" i="3" l="1"/>
  <c r="H200" i="3" s="1" a="1"/>
  <c r="H200" i="3" s="1"/>
  <c r="L201" i="3" l="1"/>
  <c r="H201" i="3" s="1" a="1"/>
  <c r="H201" i="3" s="1"/>
  <c r="L202" i="3" l="1"/>
  <c r="H202" i="3" s="1" a="1"/>
  <c r="H202" i="3" s="1"/>
  <c r="L203" i="3" l="1"/>
  <c r="H203" i="3" s="1" a="1"/>
  <c r="H203" i="3" s="1"/>
  <c r="L204" i="3" l="1"/>
  <c r="H204" i="3" s="1" a="1"/>
  <c r="H204" i="3" s="1"/>
  <c r="L205" i="3" l="1"/>
  <c r="H205" i="3" s="1" a="1"/>
  <c r="H205" i="3" s="1"/>
  <c r="L206" i="3" l="1"/>
  <c r="H206" i="3" s="1" a="1"/>
  <c r="H206" i="3" s="1"/>
  <c r="L207" i="3" l="1"/>
  <c r="H207" i="3" s="1" a="1"/>
  <c r="H207" i="3" s="1"/>
  <c r="L208" i="3" l="1"/>
  <c r="H208" i="3" s="1" a="1"/>
  <c r="H208" i="3" s="1"/>
  <c r="L209" i="3" l="1"/>
  <c r="H209" i="3" s="1" a="1"/>
  <c r="H209" i="3" s="1"/>
  <c r="L210" i="3" l="1"/>
  <c r="H210" i="3" s="1" a="1"/>
  <c r="H210" i="3" s="1"/>
  <c r="L211" i="3" l="1"/>
  <c r="H211" i="3" s="1" a="1"/>
  <c r="H211" i="3" s="1"/>
  <c r="L212" i="3" l="1"/>
  <c r="H212" i="3" s="1" a="1"/>
  <c r="H212" i="3" s="1"/>
  <c r="L213" i="3" l="1"/>
  <c r="H213" i="3" s="1" a="1"/>
  <c r="H213" i="3" s="1"/>
  <c r="L214" i="3" l="1"/>
  <c r="H214" i="3" s="1" a="1"/>
  <c r="H214" i="3" s="1"/>
  <c r="L215" i="3" l="1"/>
  <c r="H215" i="3" s="1" a="1"/>
  <c r="H215" i="3" s="1"/>
  <c r="L216" i="3" l="1"/>
  <c r="H216" i="3" s="1" a="1"/>
  <c r="H216" i="3" s="1"/>
  <c r="L217" i="3" l="1"/>
  <c r="H217" i="3" s="1" a="1"/>
  <c r="H217" i="3" s="1"/>
  <c r="L218" i="3" l="1"/>
  <c r="H218" i="3" s="1" a="1"/>
  <c r="H218" i="3" s="1"/>
  <c r="L219" i="3" l="1"/>
  <c r="H219" i="3" s="1" a="1"/>
  <c r="H219" i="3" s="1"/>
  <c r="L220" i="3" l="1"/>
  <c r="H220" i="3" s="1" a="1"/>
  <c r="H220" i="3" s="1"/>
  <c r="L221" i="3" l="1"/>
  <c r="H221" i="3" s="1" a="1"/>
  <c r="H221" i="3" s="1"/>
  <c r="L222" i="3" l="1"/>
  <c r="H222" i="3" s="1" a="1"/>
  <c r="H222" i="3" s="1"/>
  <c r="L223" i="3" l="1"/>
  <c r="H223" i="3" s="1" a="1"/>
  <c r="H223" i="3" s="1"/>
  <c r="L224" i="3" l="1"/>
  <c r="H224" i="3" s="1" a="1"/>
  <c r="H224" i="3" s="1"/>
  <c r="L225" i="3" l="1"/>
  <c r="H225" i="3" s="1" a="1"/>
  <c r="H225" i="3" s="1"/>
  <c r="L226" i="3" l="1"/>
  <c r="H226" i="3" s="1" a="1"/>
  <c r="H226" i="3" s="1"/>
  <c r="L227" i="3" l="1"/>
  <c r="H227" i="3" s="1" a="1"/>
  <c r="H227" i="3" s="1"/>
  <c r="L228" i="3" l="1"/>
  <c r="H228" i="3" s="1" a="1"/>
  <c r="H228" i="3" s="1"/>
  <c r="L229" i="3" l="1"/>
  <c r="H229" i="3" s="1" a="1"/>
  <c r="H229" i="3" s="1"/>
  <c r="L230" i="3" l="1"/>
  <c r="H230" i="3" s="1" a="1"/>
  <c r="H230" i="3" s="1"/>
  <c r="L231" i="3" l="1"/>
  <c r="H231" i="3" s="1" a="1"/>
  <c r="H231" i="3" s="1"/>
  <c r="L232" i="3" l="1"/>
  <c r="H232" i="3" s="1" a="1"/>
  <c r="H232" i="3" s="1"/>
  <c r="L233" i="3" l="1"/>
  <c r="H233" i="3" s="1" a="1"/>
  <c r="H233" i="3" s="1"/>
  <c r="L234" i="3" l="1"/>
  <c r="H234" i="3" s="1" a="1"/>
  <c r="H234" i="3" s="1"/>
  <c r="L235" i="3" l="1"/>
  <c r="H235" i="3" s="1" a="1"/>
  <c r="H235" i="3" s="1"/>
  <c r="L236" i="3" l="1"/>
  <c r="H236" i="3" s="1" a="1"/>
  <c r="H236" i="3" s="1"/>
  <c r="L237" i="3" l="1"/>
  <c r="H237" i="3" s="1" a="1"/>
  <c r="H237" i="3" s="1"/>
  <c r="L238" i="3" l="1"/>
  <c r="H238" i="3" s="1" a="1"/>
  <c r="H238" i="3" s="1"/>
  <c r="L239" i="3" l="1"/>
  <c r="H239" i="3" s="1" a="1"/>
  <c r="H239" i="3" s="1"/>
  <c r="L240" i="3" l="1"/>
  <c r="H240" i="3" s="1" a="1"/>
  <c r="H240" i="3" s="1"/>
  <c r="L241" i="3" l="1"/>
  <c r="H241" i="3" s="1" a="1"/>
  <c r="H241" i="3" s="1"/>
  <c r="L242" i="3" l="1"/>
  <c r="H242" i="3" s="1" a="1"/>
  <c r="H242" i="3" s="1"/>
  <c r="L243" i="3" l="1"/>
  <c r="H243" i="3" s="1" a="1"/>
  <c r="H243" i="3" s="1"/>
  <c r="L244" i="3" l="1"/>
  <c r="H244" i="3" s="1" a="1"/>
  <c r="H244" i="3" s="1"/>
  <c r="L245" i="3" l="1"/>
  <c r="H245" i="3" s="1" a="1"/>
  <c r="H245" i="3" s="1"/>
  <c r="L246" i="3" l="1"/>
  <c r="H246" i="3" s="1" a="1"/>
  <c r="H246" i="3" s="1"/>
  <c r="L247" i="3" l="1"/>
  <c r="H247" i="3" s="1" a="1"/>
  <c r="H247" i="3" s="1"/>
  <c r="L248" i="3" l="1"/>
  <c r="H248" i="3" s="1" a="1"/>
  <c r="H248" i="3" s="1"/>
  <c r="L249" i="3" l="1"/>
  <c r="H249" i="3" s="1" a="1"/>
  <c r="H249" i="3" s="1"/>
  <c r="L250" i="3" l="1"/>
  <c r="H250" i="3" s="1" a="1"/>
  <c r="H250" i="3" s="1"/>
  <c r="L251" i="3" l="1"/>
  <c r="H251" i="3" s="1" a="1"/>
  <c r="H251" i="3" s="1"/>
  <c r="L252" i="3" l="1"/>
  <c r="H252" i="3" s="1" a="1"/>
  <c r="H252" i="3" s="1"/>
  <c r="L253" i="3" l="1"/>
  <c r="H253" i="3" s="1" a="1"/>
  <c r="H253" i="3" s="1"/>
  <c r="L254" i="3" l="1"/>
  <c r="H254" i="3" s="1" a="1"/>
  <c r="H254" i="3" s="1"/>
  <c r="L255" i="3" l="1"/>
  <c r="H255" i="3" s="1" a="1"/>
  <c r="H255" i="3" s="1"/>
  <c r="L256" i="3" l="1"/>
  <c r="H256" i="3" s="1" a="1"/>
  <c r="H256" i="3" s="1"/>
  <c r="L257" i="3" l="1"/>
  <c r="H257" i="3" s="1" a="1"/>
  <c r="H257" i="3" s="1"/>
  <c r="L258" i="3" l="1"/>
  <c r="H258" i="3" s="1" a="1"/>
  <c r="H258" i="3" s="1"/>
  <c r="L259" i="3" l="1"/>
  <c r="H259" i="3" s="1" a="1"/>
  <c r="H259" i="3" s="1"/>
  <c r="L260" i="3" l="1"/>
  <c r="H260" i="3" s="1" a="1"/>
  <c r="H260" i="3" s="1"/>
  <c r="L261" i="3" l="1"/>
  <c r="H261" i="3" s="1" a="1"/>
  <c r="H261" i="3" s="1"/>
  <c r="L262" i="3" l="1"/>
  <c r="H262" i="3" s="1" a="1"/>
  <c r="H262" i="3" s="1"/>
  <c r="L263" i="3" l="1"/>
  <c r="H263" i="3" s="1" a="1"/>
  <c r="H263" i="3" s="1"/>
  <c r="L264" i="3" l="1"/>
  <c r="H264" i="3" s="1" a="1"/>
  <c r="H264" i="3" s="1"/>
  <c r="L265" i="3" l="1"/>
  <c r="H265" i="3" s="1" a="1"/>
  <c r="H265" i="3" s="1"/>
  <c r="L266" i="3" l="1"/>
  <c r="H266" i="3" s="1" a="1"/>
  <c r="H266" i="3" s="1"/>
  <c r="L267" i="3" l="1"/>
  <c r="H267" i="3" s="1" a="1"/>
  <c r="H267" i="3" s="1"/>
  <c r="L268" i="3" l="1"/>
  <c r="H268" i="3" s="1" a="1"/>
  <c r="H268" i="3" s="1"/>
  <c r="L269" i="3" l="1"/>
  <c r="H269" i="3" s="1" a="1"/>
  <c r="H269" i="3" s="1"/>
  <c r="L270" i="3" l="1"/>
  <c r="H270" i="3" s="1" a="1"/>
  <c r="H270" i="3" s="1"/>
  <c r="L271" i="3" l="1"/>
  <c r="H271" i="3" s="1" a="1"/>
  <c r="H271" i="3" s="1"/>
  <c r="L272" i="3" l="1"/>
  <c r="H272" i="3" s="1" a="1"/>
  <c r="H272" i="3" s="1"/>
  <c r="L273" i="3" l="1"/>
  <c r="H273" i="3" s="1" a="1"/>
  <c r="H273" i="3" s="1"/>
  <c r="L274" i="3" l="1"/>
  <c r="H274" i="3" s="1" a="1"/>
  <c r="H274" i="3" s="1"/>
  <c r="L275" i="3" l="1"/>
  <c r="H275" i="3" s="1" a="1"/>
  <c r="H275" i="3" s="1"/>
  <c r="L276" i="3" l="1"/>
  <c r="H276" i="3" s="1" a="1"/>
  <c r="H276" i="3" s="1"/>
  <c r="L277" i="3" l="1"/>
  <c r="H277" i="3" s="1" a="1"/>
  <c r="H277" i="3" s="1"/>
  <c r="L278" i="3" l="1"/>
  <c r="H278" i="3" s="1" a="1"/>
  <c r="H278" i="3" s="1"/>
  <c r="L279" i="3" l="1"/>
  <c r="H279" i="3" s="1" a="1"/>
  <c r="H279" i="3" s="1"/>
  <c r="L280" i="3" l="1"/>
  <c r="H280" i="3" s="1" a="1"/>
  <c r="H280" i="3" s="1"/>
  <c r="L281" i="3" l="1"/>
  <c r="H281" i="3" s="1" a="1"/>
  <c r="H281" i="3" s="1"/>
  <c r="L282" i="3" l="1"/>
  <c r="H282" i="3" s="1" a="1"/>
  <c r="H282" i="3" s="1"/>
  <c r="L283" i="3" l="1"/>
  <c r="H283" i="3" s="1" a="1"/>
  <c r="H283" i="3" s="1"/>
  <c r="L284" i="3" l="1"/>
  <c r="H284" i="3" s="1" a="1"/>
  <c r="H284" i="3" s="1"/>
  <c r="L285" i="3" l="1"/>
  <c r="H285" i="3" s="1" a="1"/>
  <c r="H285" i="3" s="1"/>
  <c r="L286" i="3" l="1"/>
  <c r="H286" i="3" s="1" a="1"/>
  <c r="H286" i="3" s="1"/>
  <c r="L287" i="3" l="1"/>
  <c r="H287" i="3" s="1" a="1"/>
  <c r="H287" i="3" s="1"/>
  <c r="L288" i="3" l="1"/>
  <c r="H288" i="3" s="1" a="1"/>
  <c r="H288" i="3" s="1"/>
  <c r="L289" i="3" l="1"/>
  <c r="H289" i="3" s="1" a="1"/>
  <c r="H289" i="3" s="1"/>
  <c r="L290" i="3" l="1"/>
  <c r="H290" i="3" s="1" a="1"/>
  <c r="H290" i="3" s="1"/>
  <c r="L291" i="3" l="1"/>
  <c r="H291" i="3" s="1" a="1"/>
  <c r="H291" i="3" s="1"/>
  <c r="L292" i="3" l="1"/>
  <c r="H292" i="3" s="1" a="1"/>
  <c r="H292" i="3" s="1"/>
  <c r="L293" i="3" l="1"/>
  <c r="H293" i="3" s="1" a="1"/>
  <c r="H293" i="3" s="1"/>
  <c r="L294" i="3" l="1"/>
  <c r="H294" i="3" s="1" a="1"/>
  <c r="H294" i="3" s="1"/>
  <c r="L295" i="3" l="1"/>
  <c r="H295" i="3" s="1" a="1"/>
  <c r="H295" i="3" s="1"/>
  <c r="L296" i="3" l="1"/>
  <c r="H296" i="3" s="1" a="1"/>
  <c r="H296" i="3" s="1"/>
  <c r="L297" i="3" l="1"/>
  <c r="H297" i="3" s="1" a="1"/>
  <c r="H297" i="3" s="1"/>
  <c r="L298" i="3" l="1"/>
  <c r="H298" i="3" s="1" a="1"/>
  <c r="H298" i="3" s="1"/>
  <c r="L299" i="3" l="1"/>
  <c r="H299" i="3" s="1" a="1"/>
  <c r="H299" i="3" s="1"/>
  <c r="L300" i="3" l="1"/>
  <c r="H300" i="3" s="1" a="1"/>
  <c r="H300" i="3" s="1"/>
  <c r="L301" i="3" l="1"/>
  <c r="H301" i="3" s="1" a="1"/>
  <c r="H301" i="3" s="1"/>
  <c r="L302" i="3" l="1"/>
  <c r="H302" i="3" s="1" a="1"/>
  <c r="H302" i="3" s="1"/>
  <c r="L303" i="3" l="1"/>
  <c r="H303" i="3" s="1" a="1"/>
  <c r="H303" i="3" s="1"/>
  <c r="L304" i="3" l="1"/>
  <c r="H304" i="3" s="1" a="1"/>
  <c r="H304" i="3" s="1"/>
  <c r="L305" i="3" l="1"/>
  <c r="H305" i="3" s="1" a="1"/>
  <c r="H305" i="3" s="1"/>
  <c r="L306" i="3" l="1"/>
  <c r="H306" i="3" s="1" a="1"/>
  <c r="H306" i="3" s="1"/>
  <c r="L307" i="3" l="1"/>
  <c r="H307" i="3" s="1" a="1"/>
  <c r="H307" i="3" s="1"/>
  <c r="L308" i="3" l="1"/>
  <c r="H308" i="3" s="1" a="1"/>
  <c r="H308" i="3" s="1"/>
  <c r="L309" i="3" l="1"/>
  <c r="H309" i="3" s="1" a="1"/>
  <c r="H309" i="3" s="1"/>
  <c r="L310" i="3" l="1"/>
  <c r="H310" i="3" s="1" a="1"/>
  <c r="H310" i="3" s="1"/>
  <c r="L311" i="3" l="1"/>
  <c r="H311" i="3" s="1" a="1"/>
  <c r="H311" i="3" s="1"/>
  <c r="L312" i="3" l="1"/>
  <c r="H312" i="3" s="1" a="1"/>
  <c r="H312" i="3" s="1"/>
  <c r="L313" i="3" l="1"/>
  <c r="H313" i="3" s="1" a="1"/>
  <c r="H313" i="3" s="1"/>
  <c r="L314" i="3" l="1"/>
  <c r="H314" i="3" s="1" a="1"/>
  <c r="H314" i="3" s="1"/>
  <c r="L315" i="3" l="1"/>
  <c r="H315" i="3" s="1" a="1"/>
  <c r="H315" i="3" s="1"/>
  <c r="L316" i="3" l="1"/>
  <c r="H316" i="3" s="1" a="1"/>
  <c r="H316" i="3" s="1"/>
  <c r="L317" i="3" l="1"/>
  <c r="H317" i="3" s="1" a="1"/>
  <c r="H317" i="3" s="1"/>
  <c r="L318" i="3" l="1"/>
  <c r="H318" i="3" s="1" a="1"/>
  <c r="H318" i="3" s="1"/>
  <c r="L319" i="3" l="1"/>
  <c r="H319" i="3" s="1" a="1"/>
  <c r="H319" i="3" s="1"/>
  <c r="L320" i="3" l="1"/>
  <c r="H320" i="3" s="1" a="1"/>
  <c r="H320" i="3" s="1"/>
  <c r="L321" i="3" l="1"/>
  <c r="H321" i="3" s="1" a="1"/>
  <c r="H321" i="3" s="1"/>
  <c r="L322" i="3" l="1"/>
  <c r="H322" i="3" s="1" a="1"/>
  <c r="H322" i="3" s="1"/>
  <c r="L323" i="3" l="1"/>
  <c r="H323" i="3" s="1" a="1"/>
  <c r="H323" i="3" s="1"/>
  <c r="L324" i="3" l="1"/>
  <c r="H324" i="3" s="1" a="1"/>
  <c r="H324" i="3" s="1"/>
  <c r="L325" i="3" l="1"/>
  <c r="H325" i="3" s="1" a="1"/>
  <c r="H325" i="3" s="1"/>
  <c r="L326" i="3" l="1"/>
  <c r="H326" i="3" s="1" a="1"/>
  <c r="H326" i="3" s="1"/>
  <c r="L327" i="3" l="1"/>
  <c r="H327" i="3" s="1" a="1"/>
  <c r="H327" i="3" s="1"/>
  <c r="L328" i="3" l="1"/>
  <c r="H328" i="3" s="1" a="1"/>
  <c r="H328" i="3" s="1"/>
  <c r="L329" i="3" l="1"/>
  <c r="H329" i="3" s="1" a="1"/>
  <c r="H329" i="3" s="1"/>
  <c r="L330" i="3" l="1"/>
  <c r="H330" i="3" s="1" a="1"/>
  <c r="H330" i="3" s="1"/>
  <c r="L331" i="3" l="1"/>
  <c r="H331" i="3" s="1" a="1"/>
  <c r="H331" i="3" s="1"/>
  <c r="L332" i="3" l="1"/>
  <c r="H332" i="3" s="1" a="1"/>
  <c r="H332" i="3" s="1"/>
  <c r="L333" i="3" l="1"/>
  <c r="H333" i="3" s="1" a="1"/>
  <c r="H333" i="3" s="1"/>
  <c r="L334" i="3" l="1"/>
  <c r="H334" i="3" s="1" a="1"/>
  <c r="H334" i="3" s="1"/>
  <c r="L335" i="3" l="1"/>
  <c r="H335" i="3" s="1" a="1"/>
  <c r="H335" i="3" s="1"/>
  <c r="L336" i="3" l="1"/>
  <c r="H336" i="3" s="1" a="1"/>
  <c r="H336" i="3" s="1"/>
  <c r="L337" i="3" l="1"/>
  <c r="H337" i="3" s="1" a="1"/>
  <c r="H337" i="3" s="1"/>
  <c r="L338" i="3" l="1"/>
  <c r="H338" i="3" s="1" a="1"/>
  <c r="H338" i="3" s="1"/>
  <c r="L339" i="3" l="1"/>
  <c r="H339" i="3" s="1" a="1"/>
  <c r="H339" i="3" s="1"/>
  <c r="L340" i="3" l="1"/>
  <c r="H340" i="3" s="1" a="1"/>
  <c r="H340" i="3" s="1"/>
  <c r="L341" i="3" l="1"/>
  <c r="H341" i="3" s="1" a="1"/>
  <c r="H341" i="3" s="1"/>
  <c r="L342" i="3" l="1"/>
  <c r="H342" i="3" s="1" a="1"/>
  <c r="H342" i="3" s="1"/>
  <c r="L343" i="3" l="1"/>
  <c r="H343" i="3" s="1" a="1"/>
  <c r="H343" i="3" s="1"/>
  <c r="L344" i="3" l="1"/>
  <c r="H344" i="3" s="1" a="1"/>
  <c r="H344" i="3" s="1"/>
  <c r="L345" i="3" l="1"/>
  <c r="H345" i="3" s="1" a="1"/>
  <c r="H345" i="3" s="1"/>
  <c r="L346" i="3" l="1"/>
  <c r="H346" i="3" s="1" a="1"/>
  <c r="H346" i="3" s="1"/>
  <c r="L347" i="3" l="1"/>
  <c r="H347" i="3" s="1" a="1"/>
  <c r="H347" i="3" s="1"/>
  <c r="L348" i="3" l="1"/>
  <c r="H348" i="3" s="1" a="1"/>
  <c r="H348" i="3" s="1"/>
  <c r="L349" i="3" l="1"/>
  <c r="H349" i="3" s="1" a="1"/>
  <c r="H349" i="3" s="1"/>
  <c r="L350" i="3" l="1"/>
  <c r="H350" i="3" s="1" a="1"/>
  <c r="H350" i="3" s="1"/>
  <c r="L351" i="3" l="1"/>
  <c r="H351" i="3" s="1" a="1"/>
  <c r="H351" i="3" s="1"/>
  <c r="L352" i="3" l="1"/>
  <c r="H352" i="3" s="1" a="1"/>
  <c r="H352" i="3" s="1"/>
  <c r="L353" i="3" l="1"/>
  <c r="H353" i="3" s="1" a="1"/>
  <c r="H353" i="3" s="1"/>
  <c r="L354" i="3" l="1"/>
  <c r="H354" i="3" s="1" a="1"/>
  <c r="H354" i="3" s="1"/>
  <c r="L355" i="3" l="1"/>
  <c r="H355" i="3" s="1" a="1"/>
  <c r="H355" i="3" s="1"/>
  <c r="L356" i="3" l="1"/>
  <c r="H356" i="3" s="1" a="1"/>
  <c r="H356" i="3" s="1"/>
  <c r="L357" i="3" l="1"/>
  <c r="H357" i="3" s="1" a="1"/>
  <c r="H357" i="3" s="1"/>
  <c r="L358" i="3" l="1"/>
  <c r="H358" i="3" s="1" a="1"/>
  <c r="H358" i="3" s="1"/>
  <c r="L359" i="3" l="1"/>
  <c r="H359" i="3" s="1" a="1"/>
  <c r="H359" i="3" s="1"/>
  <c r="L360" i="3" l="1"/>
  <c r="H360" i="3" s="1" a="1"/>
  <c r="H360" i="3" s="1"/>
  <c r="L361" i="3" l="1"/>
  <c r="H361" i="3" s="1" a="1"/>
  <c r="H361" i="3" s="1"/>
  <c r="L362" i="3" l="1"/>
  <c r="H362" i="3" s="1" a="1"/>
  <c r="H362" i="3" s="1"/>
  <c r="L363" i="3" l="1"/>
  <c r="H363" i="3" s="1" a="1"/>
  <c r="H363" i="3" s="1"/>
  <c r="L364" i="3" l="1"/>
  <c r="H364" i="3" s="1" a="1"/>
  <c r="H364" i="3" s="1"/>
  <c r="L365" i="3" l="1"/>
  <c r="H365" i="3" s="1" a="1"/>
  <c r="H365" i="3" s="1"/>
  <c r="L366" i="3" l="1"/>
  <c r="H366" i="3" s="1" a="1"/>
  <c r="H366" i="3" s="1"/>
  <c r="L367" i="3" l="1"/>
  <c r="H367" i="3" s="1" a="1"/>
  <c r="H367" i="3" s="1"/>
  <c r="L368" i="3" l="1"/>
  <c r="H368" i="3" s="1" a="1"/>
  <c r="H368" i="3" s="1"/>
  <c r="L369" i="3" l="1"/>
  <c r="H369" i="3" s="1" a="1"/>
  <c r="H369" i="3" s="1"/>
  <c r="L370" i="3" l="1"/>
  <c r="H370" i="3" s="1" a="1"/>
  <c r="H370" i="3" s="1"/>
  <c r="L371" i="3" l="1"/>
  <c r="H371" i="3" s="1" a="1"/>
  <c r="H371" i="3" s="1"/>
  <c r="L372" i="3" l="1"/>
  <c r="H372" i="3" s="1" a="1"/>
  <c r="H372" i="3" s="1"/>
  <c r="L373" i="3" l="1"/>
  <c r="H373" i="3" s="1" a="1"/>
  <c r="H373" i="3" s="1"/>
  <c r="L374" i="3" l="1"/>
  <c r="H374" i="3" s="1" a="1"/>
  <c r="H374" i="3" s="1"/>
  <c r="L375" i="3" l="1"/>
  <c r="H375" i="3" s="1" a="1"/>
  <c r="H375" i="3" s="1"/>
  <c r="L376" i="3" l="1"/>
  <c r="H376" i="3" s="1" a="1"/>
  <c r="H376" i="3" s="1"/>
  <c r="L377" i="3" l="1"/>
  <c r="H377" i="3" s="1" a="1"/>
  <c r="H377" i="3" s="1"/>
  <c r="L378" i="3" l="1"/>
  <c r="H378" i="3" s="1" a="1"/>
  <c r="H378" i="3" s="1"/>
  <c r="L379" i="3" l="1"/>
  <c r="H379" i="3" s="1" a="1"/>
  <c r="H379" i="3" s="1"/>
  <c r="L380" i="3" l="1"/>
  <c r="H380" i="3" s="1" a="1"/>
  <c r="H380" i="3" s="1"/>
  <c r="L381" i="3" l="1"/>
  <c r="H381" i="3" s="1" a="1"/>
  <c r="H381" i="3" s="1"/>
  <c r="L382" i="3" l="1"/>
  <c r="H382" i="3" s="1" a="1"/>
  <c r="H382" i="3" s="1"/>
  <c r="L383" i="3" l="1"/>
  <c r="H383" i="3" s="1" a="1"/>
  <c r="H383" i="3" s="1"/>
  <c r="L384" i="3" l="1"/>
  <c r="H384" i="3" s="1" a="1"/>
  <c r="H384" i="3" s="1"/>
  <c r="L385" i="3" l="1"/>
  <c r="H385" i="3" s="1" a="1"/>
  <c r="H385" i="3" s="1"/>
  <c r="L386" i="3" l="1"/>
  <c r="H386" i="3" s="1" a="1"/>
  <c r="H386" i="3" s="1"/>
  <c r="L387" i="3" l="1"/>
  <c r="H387" i="3" s="1" a="1"/>
  <c r="H387" i="3" s="1"/>
  <c r="L388" i="3" l="1"/>
  <c r="H388" i="3" s="1" a="1"/>
  <c r="H388" i="3" s="1"/>
  <c r="L389" i="3" l="1"/>
  <c r="H389" i="3" s="1" a="1"/>
  <c r="H389" i="3" s="1"/>
  <c r="L390" i="3" l="1"/>
  <c r="H390" i="3" s="1" a="1"/>
  <c r="H390" i="3" s="1"/>
  <c r="L391" i="3" l="1"/>
  <c r="H391" i="3" s="1" a="1"/>
  <c r="H391" i="3" s="1"/>
  <c r="L392" i="3" l="1"/>
  <c r="H392" i="3" s="1" a="1"/>
  <c r="H392" i="3" s="1"/>
  <c r="L393" i="3" l="1"/>
  <c r="H393" i="3" s="1" a="1"/>
  <c r="H393" i="3" s="1"/>
  <c r="L394" i="3" l="1"/>
  <c r="H394" i="3" s="1" a="1"/>
  <c r="H394" i="3" s="1"/>
  <c r="L395" i="3" l="1"/>
  <c r="H395" i="3" s="1" a="1"/>
  <c r="H395" i="3" s="1"/>
  <c r="L396" i="3" l="1"/>
  <c r="H396" i="3" s="1" a="1"/>
  <c r="H396" i="3" s="1"/>
  <c r="L397" i="3" l="1"/>
  <c r="H397" i="3" s="1" a="1"/>
  <c r="H397" i="3" s="1"/>
  <c r="L398" i="3" l="1"/>
  <c r="H398" i="3" s="1" a="1"/>
  <c r="H398" i="3" s="1"/>
  <c r="L399" i="3" l="1"/>
  <c r="H399" i="3" s="1" a="1"/>
  <c r="H399" i="3" s="1"/>
  <c r="L400" i="3" l="1"/>
  <c r="H400" i="3" s="1" a="1"/>
  <c r="H400" i="3" s="1"/>
  <c r="L401" i="3" l="1"/>
  <c r="H401" i="3" s="1" a="1"/>
  <c r="H401" i="3" s="1"/>
  <c r="L402" i="3" l="1"/>
  <c r="H402" i="3" s="1" a="1"/>
  <c r="H402" i="3" s="1"/>
  <c r="L403" i="3" l="1"/>
  <c r="H403" i="3" s="1" a="1"/>
  <c r="H403" i="3" s="1"/>
  <c r="L404" i="3" l="1"/>
  <c r="H404" i="3" s="1" a="1"/>
  <c r="H404" i="3" s="1"/>
  <c r="L405" i="3" l="1"/>
  <c r="H405" i="3" s="1" a="1"/>
  <c r="H405" i="3" s="1"/>
  <c r="L406" i="3" l="1"/>
  <c r="H406" i="3" s="1" a="1"/>
  <c r="H406" i="3" s="1"/>
  <c r="L407" i="3" l="1"/>
  <c r="H407" i="3" s="1" a="1"/>
  <c r="H407" i="3" s="1"/>
  <c r="L408" i="3" l="1"/>
  <c r="H408" i="3" s="1" a="1"/>
  <c r="H408" i="3" s="1"/>
  <c r="L409" i="3" l="1"/>
  <c r="H409" i="3" s="1" a="1"/>
  <c r="H409" i="3" s="1"/>
  <c r="L410" i="3" l="1"/>
  <c r="H410" i="3" s="1" a="1"/>
  <c r="H410" i="3" s="1"/>
  <c r="L411" i="3" l="1"/>
  <c r="H411" i="3" s="1" a="1"/>
  <c r="H411" i="3" s="1"/>
  <c r="L412" i="3" l="1"/>
  <c r="H412" i="3" s="1" a="1"/>
  <c r="H412" i="3" s="1"/>
  <c r="L413" i="3" l="1"/>
  <c r="H413" i="3" s="1" a="1"/>
  <c r="H413" i="3" s="1"/>
  <c r="L414" i="3" l="1"/>
  <c r="H414" i="3" s="1" a="1"/>
  <c r="H414" i="3" s="1"/>
  <c r="L415" i="3" l="1"/>
  <c r="H415" i="3" s="1" a="1"/>
  <c r="H415" i="3" s="1"/>
  <c r="L416" i="3" l="1"/>
  <c r="H416" i="3" s="1" a="1"/>
  <c r="H416" i="3" s="1"/>
  <c r="L417" i="3" l="1"/>
  <c r="H417" i="3" s="1" a="1"/>
  <c r="H417" i="3" s="1"/>
  <c r="L418" i="3" l="1"/>
  <c r="H418" i="3" s="1" a="1"/>
  <c r="H418" i="3" s="1"/>
  <c r="L419" i="3" l="1"/>
  <c r="H419" i="3" s="1" a="1"/>
  <c r="H419" i="3" s="1"/>
  <c r="L420" i="3" l="1"/>
  <c r="H420" i="3" s="1" a="1"/>
  <c r="H420" i="3" s="1"/>
  <c r="L421" i="3" l="1"/>
  <c r="H421" i="3" s="1" a="1"/>
  <c r="H421" i="3" s="1"/>
  <c r="L422" i="3" l="1"/>
  <c r="H422" i="3" s="1" a="1"/>
  <c r="H422" i="3" s="1"/>
  <c r="L423" i="3" l="1"/>
  <c r="H423" i="3" s="1" a="1"/>
  <c r="H423" i="3" s="1"/>
  <c r="L424" i="3" l="1"/>
  <c r="H424" i="3" s="1" a="1"/>
  <c r="H424" i="3" s="1"/>
  <c r="L425" i="3" l="1"/>
  <c r="H425" i="3" s="1" a="1"/>
  <c r="H425" i="3" s="1"/>
  <c r="L426" i="3" l="1"/>
  <c r="H426" i="3" s="1" a="1"/>
  <c r="H426" i="3" s="1"/>
  <c r="L427" i="3" l="1"/>
  <c r="H427" i="3" s="1" a="1"/>
  <c r="H427" i="3" s="1"/>
  <c r="L428" i="3" l="1"/>
  <c r="H428" i="3" s="1" a="1"/>
  <c r="H428" i="3" s="1"/>
  <c r="L429" i="3" l="1"/>
  <c r="H429" i="3" s="1" a="1"/>
  <c r="H429" i="3" s="1"/>
  <c r="L430" i="3" l="1"/>
  <c r="H430" i="3" s="1" a="1"/>
  <c r="H430" i="3" s="1"/>
  <c r="L431" i="3" l="1"/>
  <c r="H431" i="3" s="1" a="1"/>
  <c r="H431" i="3" s="1"/>
  <c r="L432" i="3" l="1"/>
  <c r="H432" i="3" s="1" a="1"/>
  <c r="H432" i="3" s="1"/>
  <c r="L433" i="3" l="1"/>
  <c r="H433" i="3" s="1" a="1"/>
  <c r="H433" i="3" s="1"/>
  <c r="L434" i="3" l="1"/>
  <c r="H434" i="3" s="1" a="1"/>
  <c r="H434" i="3" s="1"/>
  <c r="L435" i="3" l="1"/>
  <c r="H435" i="3" s="1" a="1"/>
  <c r="H435" i="3" s="1"/>
  <c r="L436" i="3" l="1"/>
  <c r="H436" i="3" s="1" a="1"/>
  <c r="H436" i="3" s="1"/>
  <c r="L437" i="3" l="1"/>
  <c r="H437" i="3" s="1" a="1"/>
  <c r="H437" i="3" s="1"/>
  <c r="L438" i="3" l="1"/>
  <c r="H438" i="3" s="1" a="1"/>
  <c r="H438" i="3" s="1"/>
  <c r="L439" i="3" l="1"/>
  <c r="H439" i="3" s="1" a="1"/>
  <c r="H439" i="3" s="1"/>
  <c r="L440" i="3" l="1"/>
  <c r="H440" i="3" s="1" a="1"/>
  <c r="H440" i="3" s="1"/>
  <c r="L441" i="3" l="1"/>
  <c r="H441" i="3" s="1" a="1"/>
  <c r="H441" i="3" s="1"/>
  <c r="L442" i="3" l="1"/>
  <c r="H442" i="3" s="1" a="1"/>
  <c r="H442" i="3" s="1"/>
  <c r="L443" i="3" l="1"/>
  <c r="H443" i="3" s="1" a="1"/>
  <c r="H443" i="3" s="1"/>
  <c r="L444" i="3" l="1"/>
  <c r="H444" i="3" s="1" a="1"/>
  <c r="H444" i="3" s="1"/>
  <c r="L445" i="3" l="1"/>
  <c r="H445" i="3" s="1" a="1"/>
  <c r="H445" i="3" s="1"/>
  <c r="L446" i="3" l="1"/>
  <c r="H446" i="3" s="1" a="1"/>
  <c r="H446" i="3" s="1"/>
  <c r="L447" i="3" l="1"/>
  <c r="H447" i="3" s="1" a="1"/>
  <c r="H447" i="3" s="1"/>
  <c r="L448" i="3" l="1"/>
  <c r="H448" i="3" s="1" a="1"/>
  <c r="H448" i="3" s="1"/>
  <c r="L449" i="3" l="1"/>
  <c r="H449" i="3" s="1" a="1"/>
  <c r="H449" i="3" s="1"/>
  <c r="L450" i="3" l="1"/>
  <c r="H450" i="3" s="1" a="1"/>
  <c r="H450" i="3" s="1"/>
  <c r="L451" i="3" l="1"/>
  <c r="H451" i="3" s="1" a="1"/>
  <c r="H451" i="3" s="1"/>
  <c r="L452" i="3" l="1"/>
  <c r="H452" i="3" s="1" a="1"/>
  <c r="H452" i="3" s="1"/>
  <c r="L453" i="3" l="1"/>
  <c r="H453" i="3" s="1" a="1"/>
  <c r="H453" i="3" s="1"/>
  <c r="L454" i="3" l="1"/>
  <c r="H454" i="3" s="1" a="1"/>
  <c r="H454" i="3" s="1"/>
  <c r="L455" i="3" l="1"/>
  <c r="H455" i="3" s="1" a="1"/>
  <c r="H455" i="3" s="1"/>
  <c r="L456" i="3" l="1"/>
  <c r="H456" i="3" s="1" a="1"/>
  <c r="H456" i="3" s="1"/>
  <c r="L457" i="3" l="1"/>
  <c r="H457" i="3" s="1" a="1"/>
  <c r="H457" i="3" s="1"/>
  <c r="L458" i="3" l="1"/>
  <c r="H458" i="3" s="1" a="1"/>
  <c r="H458" i="3" s="1"/>
  <c r="L459" i="3" l="1"/>
  <c r="H459" i="3" s="1" a="1"/>
  <c r="H459" i="3" s="1"/>
  <c r="L460" i="3" l="1"/>
  <c r="H460" i="3" s="1" a="1"/>
  <c r="H460" i="3" s="1"/>
  <c r="L461" i="3" l="1"/>
  <c r="H461" i="3" s="1" a="1"/>
  <c r="H461" i="3" s="1"/>
  <c r="L462" i="3" l="1"/>
  <c r="H462" i="3" s="1" a="1"/>
  <c r="H462" i="3" s="1"/>
  <c r="L463" i="3" l="1"/>
  <c r="H463" i="3" s="1" a="1"/>
  <c r="H463" i="3" s="1"/>
  <c r="L464" i="3" l="1"/>
  <c r="H464" i="3" s="1" a="1"/>
  <c r="H464" i="3" s="1"/>
  <c r="L465" i="3" l="1"/>
  <c r="H465" i="3" s="1" a="1"/>
  <c r="H465" i="3" s="1"/>
  <c r="L466" i="3" l="1"/>
  <c r="H466" i="3" s="1" a="1"/>
  <c r="H466" i="3" s="1"/>
  <c r="L467" i="3" l="1"/>
  <c r="H467" i="3" s="1" a="1"/>
  <c r="H467" i="3" s="1"/>
  <c r="L468" i="3" l="1"/>
  <c r="H468" i="3" s="1" a="1"/>
  <c r="H468" i="3" s="1"/>
  <c r="L469" i="3" l="1"/>
  <c r="H469" i="3" s="1" a="1"/>
  <c r="H469" i="3" s="1"/>
  <c r="L470" i="3" l="1"/>
  <c r="H470" i="3" s="1" a="1"/>
  <c r="H470" i="3" s="1"/>
  <c r="L471" i="3" l="1"/>
  <c r="H471" i="3" s="1" a="1"/>
  <c r="H471" i="3" s="1"/>
  <c r="L472" i="3" l="1"/>
  <c r="H472" i="3" s="1" a="1"/>
  <c r="H472" i="3" s="1"/>
  <c r="L473" i="3" l="1"/>
  <c r="H473" i="3" s="1" a="1"/>
  <c r="H473" i="3" s="1"/>
  <c r="L474" i="3" l="1"/>
  <c r="H474" i="3" s="1" a="1"/>
  <c r="H474" i="3" s="1"/>
  <c r="L475" i="3" l="1"/>
  <c r="H475" i="3" s="1" a="1"/>
  <c r="H475" i="3" s="1"/>
  <c r="L476" i="3" l="1"/>
  <c r="H476" i="3" s="1" a="1"/>
  <c r="H476" i="3" s="1"/>
  <c r="L477" i="3" l="1"/>
  <c r="H477" i="3" s="1" a="1"/>
  <c r="H477" i="3" s="1"/>
  <c r="L478" i="3" l="1"/>
  <c r="H478" i="3" s="1" a="1"/>
  <c r="H478" i="3" s="1"/>
  <c r="L479" i="3" l="1"/>
  <c r="H479" i="3" s="1" a="1"/>
  <c r="H479" i="3" s="1"/>
  <c r="L480" i="3" l="1"/>
  <c r="H480" i="3" s="1" a="1"/>
  <c r="H480" i="3" s="1"/>
  <c r="L481" i="3" l="1"/>
  <c r="L482" i="3" l="1"/>
  <c r="H482" i="3" s="1" a="1"/>
  <c r="H482" i="3" s="1"/>
  <c r="L483" i="3" l="1"/>
  <c r="H483" i="3" s="1" a="1"/>
  <c r="H483" i="3" s="1"/>
  <c r="L484" i="3" l="1"/>
  <c r="H484" i="3" s="1" a="1"/>
  <c r="H484" i="3" s="1"/>
  <c r="L485" i="3" l="1"/>
  <c r="H485" i="3" s="1" a="1"/>
  <c r="H485" i="3" s="1"/>
  <c r="L486" i="3" l="1"/>
  <c r="H486" i="3" s="1" a="1"/>
  <c r="H486" i="3" s="1"/>
  <c r="L487" i="3" l="1"/>
  <c r="H487" i="3" s="1" a="1"/>
  <c r="H487" i="3" s="1"/>
  <c r="L488" i="3" l="1"/>
  <c r="H488" i="3" s="1" a="1"/>
  <c r="H488" i="3" s="1"/>
  <c r="L489" i="3" l="1"/>
  <c r="H489" i="3" s="1" a="1"/>
  <c r="H489" i="3" s="1"/>
  <c r="L490" i="3" l="1"/>
  <c r="H490" i="3" s="1" a="1"/>
  <c r="H490" i="3" s="1"/>
  <c r="L491" i="3" l="1"/>
  <c r="H491" i="3" s="1" a="1"/>
  <c r="H491" i="3" s="1"/>
  <c r="L492" i="3" l="1"/>
  <c r="H492" i="3" s="1" a="1"/>
  <c r="H492" i="3" s="1"/>
  <c r="L493" i="3" l="1"/>
  <c r="H493" i="3" s="1" a="1"/>
  <c r="H493" i="3" s="1"/>
  <c r="L494" i="3" l="1"/>
  <c r="H494" i="3" s="1" a="1"/>
  <c r="H494" i="3" s="1"/>
  <c r="L495" i="3" l="1"/>
  <c r="H495" i="3" s="1" a="1"/>
  <c r="H495" i="3" s="1"/>
  <c r="L496" i="3" l="1"/>
  <c r="H496" i="3" s="1" a="1"/>
  <c r="H496" i="3" s="1"/>
  <c r="L497" i="3" l="1"/>
  <c r="H497" i="3" s="1" a="1"/>
  <c r="H497" i="3" s="1"/>
  <c r="L498" i="3" l="1"/>
  <c r="H498" i="3" s="1" a="1"/>
  <c r="H498" i="3" s="1"/>
  <c r="L499" i="3" l="1"/>
  <c r="H499" i="3" s="1" a="1"/>
  <c r="H499" i="3" s="1"/>
  <c r="L500" i="3" l="1"/>
  <c r="H500" i="3" s="1" a="1"/>
  <c r="H500" i="3" s="1"/>
  <c r="L501" i="3" l="1"/>
  <c r="H501" i="3" s="1" a="1"/>
  <c r="H501" i="3" s="1"/>
  <c r="L502" i="3" l="1"/>
  <c r="H502" i="3" s="1" a="1"/>
  <c r="H502" i="3" s="1"/>
  <c r="L503" i="3" l="1"/>
  <c r="H503" i="3" s="1" a="1"/>
  <c r="H503" i="3" s="1"/>
  <c r="L504" i="3" l="1"/>
  <c r="H504" i="3" s="1" a="1"/>
  <c r="H504" i="3" s="1"/>
  <c r="L505" i="3" l="1"/>
  <c r="H505" i="3" s="1" a="1"/>
  <c r="H505" i="3" s="1"/>
  <c r="L506" i="3" l="1"/>
  <c r="H506" i="3" s="1" a="1"/>
  <c r="H506" i="3" s="1"/>
  <c r="L507" i="3" l="1"/>
  <c r="H507" i="3" s="1" a="1"/>
  <c r="H507" i="3" s="1"/>
  <c r="L508" i="3" l="1"/>
  <c r="H508" i="3" s="1" a="1"/>
  <c r="H508" i="3" s="1"/>
  <c r="L509" i="3" l="1"/>
  <c r="H509" i="3" s="1" a="1"/>
  <c r="H509" i="3" s="1"/>
  <c r="L510" i="3" l="1"/>
  <c r="H510" i="3" s="1" a="1"/>
  <c r="H510" i="3" s="1"/>
  <c r="L511" i="3" l="1"/>
  <c r="H511" i="3" s="1" a="1"/>
  <c r="H511" i="3" s="1"/>
  <c r="L512" i="3" l="1"/>
  <c r="H512" i="3" s="1" a="1"/>
  <c r="H512" i="3" s="1"/>
  <c r="L513" i="3" l="1"/>
  <c r="L514" i="3" l="1"/>
  <c r="H514" i="3" s="1" a="1"/>
  <c r="H514" i="3" s="1"/>
  <c r="H513" i="3" a="1"/>
  <c r="H513" i="3" s="1"/>
  <c r="L515" i="3"/>
  <c r="H515" i="3" s="1" a="1"/>
  <c r="H515" i="3" s="1"/>
  <c r="L516" i="3" l="1"/>
  <c r="H516" i="3" s="1" a="1"/>
  <c r="H516" i="3" s="1"/>
  <c r="L517" i="3" l="1"/>
  <c r="H517" i="3" s="1" a="1"/>
  <c r="H517" i="3" s="1"/>
  <c r="L518" i="3" l="1"/>
  <c r="H518" i="3" s="1" a="1"/>
  <c r="H518" i="3" s="1"/>
  <c r="L519" i="3" l="1"/>
  <c r="H519" i="3" s="1" a="1"/>
  <c r="H519" i="3" s="1"/>
  <c r="L520" i="3" l="1"/>
  <c r="H520" i="3" s="1" a="1"/>
  <c r="H520" i="3" s="1"/>
  <c r="L521" i="3" l="1"/>
  <c r="H521" i="3" s="1" a="1"/>
  <c r="H521" i="3" s="1"/>
  <c r="L522" i="3" l="1"/>
  <c r="H522" i="3" s="1" a="1"/>
  <c r="H522" i="3" s="1"/>
  <c r="L523" i="3" l="1"/>
  <c r="H523" i="3" s="1" a="1"/>
  <c r="H523" i="3" s="1"/>
  <c r="L524" i="3" l="1"/>
  <c r="H524" i="3" s="1" a="1"/>
  <c r="H524" i="3" s="1"/>
  <c r="L525" i="3" l="1"/>
  <c r="H525" i="3" s="1" a="1"/>
  <c r="H525" i="3" s="1"/>
  <c r="L526" i="3" l="1"/>
  <c r="H526" i="3" s="1" a="1"/>
  <c r="H526" i="3" s="1"/>
  <c r="L527" i="3" l="1"/>
  <c r="H527" i="3" s="1" a="1"/>
  <c r="H527" i="3" s="1"/>
  <c r="L528" i="3" l="1"/>
  <c r="H528" i="3" s="1" a="1"/>
  <c r="H528" i="3" s="1"/>
  <c r="L529" i="3" l="1"/>
  <c r="H529" i="3" s="1" a="1"/>
  <c r="H529" i="3" s="1"/>
  <c r="L530" i="3" l="1"/>
  <c r="H530" i="3" s="1" a="1"/>
  <c r="H530" i="3" s="1"/>
  <c r="L531" i="3" l="1"/>
  <c r="H531" i="3" s="1" a="1"/>
  <c r="H531" i="3" s="1"/>
  <c r="L532" i="3" l="1"/>
  <c r="H532" i="3" s="1" a="1"/>
  <c r="H532" i="3" s="1"/>
  <c r="L533" i="3" l="1"/>
  <c r="H533" i="3" s="1" a="1"/>
  <c r="H533" i="3" s="1"/>
  <c r="L534" i="3" l="1"/>
  <c r="H534" i="3" s="1" a="1"/>
  <c r="H534" i="3" s="1"/>
  <c r="L535" i="3" l="1"/>
  <c r="H535" i="3" s="1" a="1"/>
  <c r="H535" i="3" s="1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<sst xmlns="http://schemas.openxmlformats.org/spreadsheetml/2006/main" count="107" uniqueCount="36">
  <si>
    <t>qi</t>
    <phoneticPr fontId="1" type="noConversion"/>
  </si>
  <si>
    <t>t</t>
    <phoneticPr fontId="1" type="noConversion"/>
  </si>
  <si>
    <t>dei</t>
    <phoneticPr fontId="1" type="noConversion"/>
  </si>
  <si>
    <t>dqi</t>
    <phoneticPr fontId="1" type="noConversion"/>
  </si>
  <si>
    <t>gc</t>
    <phoneticPr fontId="1" type="noConversion"/>
  </si>
  <si>
    <t>D</t>
    <phoneticPr fontId="1" type="noConversion"/>
  </si>
  <si>
    <t>qb</t>
    <phoneticPr fontId="1" type="noConversion"/>
  </si>
  <si>
    <t>P1</t>
    <phoneticPr fontId="1" type="noConversion"/>
  </si>
  <si>
    <t>C1</t>
    <phoneticPr fontId="1" type="noConversion"/>
  </si>
  <si>
    <t>Q1</t>
    <phoneticPr fontId="1" type="noConversion"/>
  </si>
  <si>
    <t>s1</t>
    <phoneticPr fontId="1" type="noConversion"/>
  </si>
  <si>
    <t>P2</t>
    <phoneticPr fontId="1" type="noConversion"/>
  </si>
  <si>
    <t>C2</t>
    <phoneticPr fontId="1" type="noConversion"/>
  </si>
  <si>
    <t>Q2</t>
    <phoneticPr fontId="1" type="noConversion"/>
  </si>
  <si>
    <t>s2</t>
    <phoneticPr fontId="1" type="noConversion"/>
  </si>
  <si>
    <t>P3</t>
    <phoneticPr fontId="1" type="noConversion"/>
  </si>
  <si>
    <t>C3</t>
    <phoneticPr fontId="1" type="noConversion"/>
  </si>
  <si>
    <t>Q3</t>
    <phoneticPr fontId="1" type="noConversion"/>
  </si>
  <si>
    <t>s3</t>
    <phoneticPr fontId="1" type="noConversion"/>
  </si>
  <si>
    <t>ep</t>
    <phoneticPr fontId="1" type="noConversion"/>
  </si>
  <si>
    <t>DCP</t>
    <phoneticPr fontId="1" type="noConversion"/>
  </si>
  <si>
    <t>P1</t>
  </si>
  <si>
    <t>C1</t>
  </si>
  <si>
    <t>Q1</t>
  </si>
  <si>
    <t>P2</t>
  </si>
  <si>
    <t>C2</t>
  </si>
  <si>
    <t>Q2</t>
  </si>
  <si>
    <t>P3</t>
  </si>
  <si>
    <t>C3</t>
  </si>
  <si>
    <t>Q3</t>
  </si>
  <si>
    <t>D</t>
  </si>
  <si>
    <t>T</t>
    <phoneticPr fontId="1" type="noConversion"/>
  </si>
  <si>
    <t>ep</t>
  </si>
  <si>
    <t>DCP</t>
  </si>
  <si>
    <t>EDCP</t>
    <phoneticPr fontId="1" type="noConversion"/>
  </si>
  <si>
    <t>delta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</si>
</sst>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 "/>
    <numFmt numFmtId="177" formatCode="0_);[Red]\(0\)"/>
    <numFmt numFmtId="178" formatCode="0_ "/>
    <numFmt numFmtId="179" formatCode="0.0000000_ "/>
    <numFmt numFmtId="180" formatCode="0.0000000_);[Red]\(0.0000000\)"/>
    <numFmt numFmtId="181" formatCode="0.00000_ "/>
    <numFmt numFmtId="182" formatCode="0.000_);[Red]\(0.0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theme="0"/>
      <name val="等线"/>
      <family val="2"/>
      <scheme val="minor"/>
    </font>
    <font>
      <sz val="1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81" fontId="4" fillId="3" borderId="0" xfId="0" applyNumberFormat="1" applyFont="1" applyFill="1" applyAlignment="1">
      <alignment horizontal="center" vertical="center"/>
    </xf>
    <xf numFmtId="182" fontId="4" fillId="3" borderId="0" xfId="0" applyNumberFormat="1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9" fontId="2" fillId="2" borderId="0" xfId="0" applyNumberFormat="1" applyFont="1" applyFill="1" applyAlignment="1">
      <alignment horizontal="center" vertical="center"/>
    </xf>
    <xf numFmtId="180" fontId="2" fillId="2" borderId="0" xfId="0" applyNumberFormat="1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179" fontId="3" fillId="2" borderId="0" xfId="0" applyNumberFormat="1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3" fillId="2" borderId="9" xfId="0" applyNumberFormat="1" applyFont="1" applyFill="1" applyBorder="1" applyAlignment="1">
      <alignment horizontal="center" vertical="center"/>
    </xf>
    <xf numFmtId="180" fontId="3" fillId="2" borderId="0" xfId="0" applyNumberFormat="1" applyFont="1" applyFill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11" xfId="0" applyNumberFormat="1" applyFont="1" applyFill="1" applyBorder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177" fontId="3" fillId="2" borderId="9" xfId="0" applyNumberFormat="1" applyFont="1" applyFill="1" applyBorder="1" applyAlignment="1">
      <alignment horizontal="center" vertical="center"/>
    </xf>
    <xf numFmtId="179" fontId="5" fillId="2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535"/>
  <sheetViews>
    <sheetView zoomScale="130" zoomScaleNormal="130" workbookViewId="0">
      <selection sqref="A1:R26"/>
    </sheetView>
  </sheetViews>
  <sheetFormatPr defaultColWidth="5.86328125" defaultRowHeight="13.9" x14ac:dyDescent="0.4"/>
  <cols>
    <col min="1" max="1" width="4.53125" style="2" bestFit="1" customWidth="1"/>
    <col min="2" max="3" width="5.73046875" style="16" bestFit="1" customWidth="1"/>
    <col min="4" max="4" width="5.73046875" style="14" bestFit="1" customWidth="1"/>
    <col min="5" max="5" width="3.59765625" style="2" bestFit="1" customWidth="1"/>
    <col min="6" max="7" width="5.73046875" style="16" bestFit="1" customWidth="1"/>
    <col min="8" max="8" width="5.73046875" style="14" bestFit="1" customWidth="1"/>
    <col min="9" max="9" width="3.59765625" style="2" bestFit="1" customWidth="1"/>
    <col min="10" max="11" width="5.73046875" style="16" bestFit="1" customWidth="1"/>
    <col min="12" max="12" width="5.73046875" style="14" bestFit="1" customWidth="1"/>
    <col min="13" max="13" width="5.19921875" style="14" bestFit="1" customWidth="1"/>
    <col min="14" max="14" width="7.59765625" style="14" bestFit="1" customWidth="1"/>
    <col min="15" max="15" width="6.6640625" style="2" bestFit="1" customWidth="1"/>
    <col min="16" max="16" width="5.73046875" style="2" bestFit="1" customWidth="1"/>
    <col min="17" max="17" width="2.9296875" style="2" bestFit="1" customWidth="1"/>
    <col min="18" max="18" width="5.73046875" style="14" bestFit="1" customWidth="1"/>
    <col min="19" max="19" width="5.86328125" style="14"/>
    <col min="20" max="20" width="5.73046875" style="16" bestFit="1" customWidth="1"/>
    <col min="21" max="24" width="11.3984375" style="16" bestFit="1" customWidth="1"/>
    <col min="25" max="25" width="5.86328125" style="17"/>
    <col min="26" max="26" width="5.73046875" style="16" bestFit="1" customWidth="1"/>
    <col min="27" max="27" width="10" style="35" bestFit="1" customWidth="1"/>
    <col min="28" max="28" width="10.19921875" style="23" bestFit="1" customWidth="1"/>
    <col min="29" max="29" width="11.3984375" style="16" bestFit="1" customWidth="1"/>
    <col min="30" max="30" width="9.06640625" style="16" bestFit="1" customWidth="1"/>
    <col min="31" max="34" width="11.86328125" style="16" customWidth="1"/>
    <col min="35" max="35" width="2.9296875" style="34" bestFit="1" customWidth="1"/>
    <col min="36" max="36" width="3.86328125" style="20" bestFit="1" customWidth="1"/>
    <col min="37" max="37" width="4.796875" style="16" bestFit="1" customWidth="1"/>
    <col min="38" max="39" width="5.73046875" style="21" bestFit="1" customWidth="1"/>
    <col min="40" max="40" width="3.46484375" style="20" bestFit="1" customWidth="1"/>
    <col min="41" max="41" width="4.796875" style="16" bestFit="1" customWidth="1"/>
    <col min="42" max="43" width="5.73046875" style="21" bestFit="1" customWidth="1"/>
    <col min="44" max="44" width="3.46484375" style="20" bestFit="1" customWidth="1"/>
    <col min="45" max="45" width="4.796875" style="16" bestFit="1" customWidth="1"/>
    <col min="46" max="47" width="5.73046875" style="21" bestFit="1" customWidth="1"/>
    <col min="48" max="48" width="3.86328125" style="19" bestFit="1" customWidth="1"/>
    <col min="49" max="49" width="7.59765625" style="22" bestFit="1" customWidth="1"/>
    <col min="50" max="50" width="6.6640625" style="34" bestFit="1" customWidth="1"/>
    <col min="51" max="51" width="5.73046875" style="2" bestFit="1" customWidth="1"/>
    <col min="52" max="16384" width="5.86328125" style="16"/>
  </cols>
  <sheetData>
    <row r="1" spans="1:51" s="1" customFormat="1" ht="15" x14ac:dyDescent="0.4">
      <c r="A1" s="6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8" t="s">
        <v>5</v>
      </c>
      <c r="N1" s="1" t="s">
        <v>4</v>
      </c>
      <c r="O1" s="1" t="s">
        <v>6</v>
      </c>
      <c r="P1" s="1" t="s">
        <v>0</v>
      </c>
      <c r="Q1" s="1" t="s">
        <v>1</v>
      </c>
      <c r="R1" s="1" t="s">
        <v>2</v>
      </c>
      <c r="T1" s="1" t="s">
        <v>19</v>
      </c>
      <c r="U1" s="1" t="s">
        <v>4</v>
      </c>
      <c r="V1" s="1" t="s">
        <v>2</v>
      </c>
      <c r="W1" s="1" t="s">
        <v>6</v>
      </c>
      <c r="X1" s="1" t="s">
        <v>3</v>
      </c>
      <c r="Z1" s="1" t="s">
        <v>19</v>
      </c>
      <c r="AA1" s="9" t="s">
        <v>2</v>
      </c>
      <c r="AB1" s="10" t="s">
        <v>3</v>
      </c>
      <c r="AC1" s="1" t="s">
        <v>20</v>
      </c>
      <c r="AE1" s="1" t="s">
        <v>5</v>
      </c>
      <c r="AI1" s="11" t="s">
        <v>31</v>
      </c>
      <c r="AJ1" s="6" t="s">
        <v>21</v>
      </c>
      <c r="AK1" s="7" t="s">
        <v>22</v>
      </c>
      <c r="AL1" s="12" t="s">
        <v>23</v>
      </c>
      <c r="AM1" s="8" t="s">
        <v>10</v>
      </c>
      <c r="AN1" s="6" t="s">
        <v>24</v>
      </c>
      <c r="AO1" s="7" t="s">
        <v>25</v>
      </c>
      <c r="AP1" s="12" t="s">
        <v>26</v>
      </c>
      <c r="AQ1" s="8" t="s">
        <v>14</v>
      </c>
      <c r="AR1" s="6" t="s">
        <v>27</v>
      </c>
      <c r="AS1" s="7" t="s">
        <v>28</v>
      </c>
      <c r="AT1" s="12" t="s">
        <v>29</v>
      </c>
      <c r="AU1" s="8" t="s">
        <v>18</v>
      </c>
      <c r="AV1" s="11" t="s">
        <v>30</v>
      </c>
      <c r="AW1" s="11" t="s">
        <v>4</v>
      </c>
      <c r="AX1" s="11" t="s">
        <v>6</v>
      </c>
      <c r="AY1" s="8" t="s">
        <v>0</v>
      </c>
    </row>
    <row r="2" spans="1:51" x14ac:dyDescent="0.4">
      <c r="A2" s="13">
        <v>90</v>
      </c>
      <c r="B2" s="14">
        <v>0.41</v>
      </c>
      <c r="C2" s="14">
        <v>0.40826671395461001</v>
      </c>
      <c r="D2" s="14">
        <v>0</v>
      </c>
      <c r="E2" s="2">
        <v>80</v>
      </c>
      <c r="F2" s="14">
        <v>0.38</v>
      </c>
      <c r="G2" s="14">
        <v>0.66298937703117888</v>
      </c>
      <c r="H2" s="14">
        <v>6.25E-2</v>
      </c>
      <c r="I2" s="2">
        <v>60</v>
      </c>
      <c r="J2" s="14">
        <v>0.35</v>
      </c>
      <c r="K2" s="14">
        <v>0.80602656690394836</v>
      </c>
      <c r="L2" s="14">
        <v>1</v>
      </c>
      <c r="M2" s="15">
        <v>65</v>
      </c>
      <c r="N2" s="14">
        <v>22.9</v>
      </c>
      <c r="O2" s="14">
        <v>51.676540899392791</v>
      </c>
      <c r="P2" s="14">
        <f>O2/M2</f>
        <v>0.79502370614450446</v>
      </c>
      <c r="Q2" s="16">
        <v>0</v>
      </c>
      <c r="R2" s="14">
        <f>N26/M26</f>
        <v>0.36719414830546282</v>
      </c>
      <c r="T2" s="16">
        <v>0</v>
      </c>
      <c r="U2" s="16">
        <v>898.76</v>
      </c>
      <c r="V2" s="16">
        <v>0.367140522875817</v>
      </c>
      <c r="W2" s="16">
        <v>1373.343847642567</v>
      </c>
      <c r="X2" s="16">
        <v>0.56100647371019896</v>
      </c>
      <c r="Z2" s="16">
        <v>0</v>
      </c>
      <c r="AA2" s="18" cm="1">
        <f t="array" ref="AA2:AA535">(MAX(V2:V535)-V2:V535)/(MAX(V2:V535)-MIN(V2:V535))</f>
        <v>1</v>
      </c>
      <c r="AB2" s="18" cm="1">
        <f t="array" ref="AB2:AB535">(X2:X535-MIN(X2:X535))/(MAX(X2:X535)-MIN(X2:X535))</f>
        <v>0</v>
      </c>
      <c r="AC2" s="16" t="e" cm="1">
        <f t="array" ref="AC2:AC535">(_xlfn.ANCHORARRAY(AB2)-AB2)/(AA2-_xlfn.ANCHORARRAY(AA2))</f>
        <v>#DIV/0!</v>
      </c>
      <c r="AD2" s="16" cm="1">
        <f t="array" ref="AD2:AD535">_xlfn.NORM.DIST(Z2:Z535,Z2,0.03,TRUE)</f>
        <v>0.5</v>
      </c>
      <c r="AE2" s="16">
        <v>0</v>
      </c>
      <c r="AI2" s="19">
        <v>0</v>
      </c>
      <c r="AJ2" s="20">
        <v>90</v>
      </c>
      <c r="AK2" s="16">
        <v>0.41</v>
      </c>
      <c r="AL2" s="14">
        <v>0.40826671395461001</v>
      </c>
      <c r="AM2" s="21">
        <v>0</v>
      </c>
      <c r="AN2" s="20">
        <v>80</v>
      </c>
      <c r="AO2" s="16">
        <v>0.38</v>
      </c>
      <c r="AP2" s="14">
        <v>0.66298937703117888</v>
      </c>
      <c r="AQ2" s="21">
        <v>6.25E-2</v>
      </c>
      <c r="AR2" s="20">
        <v>60</v>
      </c>
      <c r="AS2" s="16">
        <v>0.35</v>
      </c>
      <c r="AT2" s="14">
        <v>0.80602656690394836</v>
      </c>
      <c r="AU2" s="21">
        <v>1</v>
      </c>
      <c r="AV2" s="19">
        <v>65</v>
      </c>
      <c r="AW2" s="22">
        <v>22.9</v>
      </c>
      <c r="AX2" s="22">
        <v>51.676540899392791</v>
      </c>
      <c r="AY2" s="21">
        <v>0.79502370614450446</v>
      </c>
    </row>
    <row r="3" spans="1:51" ht="15" x14ac:dyDescent="0.4">
      <c r="A3" s="13">
        <v>95</v>
      </c>
      <c r="B3" s="14">
        <v>0.35</v>
      </c>
      <c r="C3" s="14">
        <v>0.53788850145950862</v>
      </c>
      <c r="D3" s="14">
        <v>0.66315789473684206</v>
      </c>
      <c r="E3" s="2">
        <v>90</v>
      </c>
      <c r="F3" s="14">
        <v>0.38</v>
      </c>
      <c r="G3" s="14">
        <v>0.71756930099178606</v>
      </c>
      <c r="H3" s="14">
        <v>0</v>
      </c>
      <c r="I3" s="2">
        <v>74</v>
      </c>
      <c r="J3" s="14">
        <v>0.35</v>
      </c>
      <c r="K3" s="14">
        <v>0.80762732976143981</v>
      </c>
      <c r="L3" s="14">
        <v>0</v>
      </c>
      <c r="M3" s="15">
        <v>63</v>
      </c>
      <c r="N3" s="14">
        <v>22.049999999999997</v>
      </c>
      <c r="O3" s="14">
        <v>33.886975591949039</v>
      </c>
      <c r="P3" s="14">
        <f t="shared" ref="P3:P25" si="0">O3/M3</f>
        <v>0.53788850145950851</v>
      </c>
      <c r="Q3" s="16">
        <v>1</v>
      </c>
      <c r="R3" s="1" t="s">
        <v>3</v>
      </c>
      <c r="S3" s="1"/>
      <c r="T3" s="16">
        <v>1E-3</v>
      </c>
      <c r="U3" s="16">
        <v>898.76</v>
      </c>
      <c r="V3" s="16">
        <v>0.367140522875817</v>
      </c>
      <c r="W3" s="16">
        <v>1373.343847642567</v>
      </c>
      <c r="X3" s="16">
        <v>0.56100647371019896</v>
      </c>
      <c r="Z3" s="16">
        <v>1E-3</v>
      </c>
      <c r="AA3" s="18">
        <v>1</v>
      </c>
      <c r="AB3" s="23">
        <v>0</v>
      </c>
      <c r="AC3" s="16" t="e">
        <v>#DIV/0!</v>
      </c>
      <c r="AD3" s="16">
        <v>0.5132956138170921</v>
      </c>
      <c r="AE3" s="16">
        <v>1E-3</v>
      </c>
      <c r="AI3" s="19">
        <v>1</v>
      </c>
      <c r="AJ3" s="20">
        <v>95</v>
      </c>
      <c r="AK3" s="16">
        <v>0.35</v>
      </c>
      <c r="AL3" s="14">
        <v>0.53788850145950862</v>
      </c>
      <c r="AM3" s="21">
        <v>0.66315789473684206</v>
      </c>
      <c r="AN3" s="20">
        <v>90</v>
      </c>
      <c r="AO3" s="16">
        <v>0.38</v>
      </c>
      <c r="AP3" s="14">
        <v>0.71756930099178606</v>
      </c>
      <c r="AQ3" s="21">
        <v>0</v>
      </c>
      <c r="AR3" s="20">
        <v>74</v>
      </c>
      <c r="AS3" s="16">
        <v>0.35</v>
      </c>
      <c r="AT3" s="14">
        <v>0.80762732976143981</v>
      </c>
      <c r="AU3" s="21">
        <v>0</v>
      </c>
      <c r="AV3" s="19">
        <v>63</v>
      </c>
      <c r="AW3" s="22">
        <v>22.049999999999997</v>
      </c>
      <c r="AX3" s="22">
        <v>33.886975591949039</v>
      </c>
      <c r="AY3" s="21">
        <v>0.53788850145950851</v>
      </c>
    </row>
    <row r="4" spans="1:51" x14ac:dyDescent="0.4">
      <c r="A4" s="13">
        <v>95</v>
      </c>
      <c r="B4" s="14">
        <v>0.36</v>
      </c>
      <c r="C4" s="14">
        <v>0.12861531389963515</v>
      </c>
      <c r="D4" s="14">
        <v>0.56707889287048885</v>
      </c>
      <c r="E4" s="2">
        <v>85</v>
      </c>
      <c r="F4" s="14">
        <v>0.44</v>
      </c>
      <c r="G4" s="14">
        <v>0.6867885133383238</v>
      </c>
      <c r="H4" s="14">
        <v>0</v>
      </c>
      <c r="I4" s="2">
        <v>60</v>
      </c>
      <c r="J4" s="14">
        <v>0.37</v>
      </c>
      <c r="K4" s="14">
        <v>0.61033471780112858</v>
      </c>
      <c r="L4" s="14">
        <v>0.21879175295505937</v>
      </c>
      <c r="M4" s="15">
        <v>67</v>
      </c>
      <c r="N4" s="14">
        <v>24.251275051773032</v>
      </c>
      <c r="O4" s="14">
        <v>14.940999999999995</v>
      </c>
      <c r="P4" s="14">
        <f t="shared" si="0"/>
        <v>0.22299999999999992</v>
      </c>
      <c r="Q4" s="16">
        <v>2</v>
      </c>
      <c r="R4" s="14">
        <f>O26/M26</f>
        <v>0.5635897147104949</v>
      </c>
      <c r="T4" s="16">
        <v>2E-3</v>
      </c>
      <c r="U4" s="16">
        <v>898.76</v>
      </c>
      <c r="V4" s="16">
        <v>0.367140522875817</v>
      </c>
      <c r="W4" s="16">
        <v>1373.343847642567</v>
      </c>
      <c r="X4" s="16">
        <v>0.56100647371019896</v>
      </c>
      <c r="Z4" s="16">
        <v>2E-3</v>
      </c>
      <c r="AA4" s="18">
        <v>1</v>
      </c>
      <c r="AB4" s="23">
        <v>0</v>
      </c>
      <c r="AC4" s="16" t="e">
        <v>#DIV/0!</v>
      </c>
      <c r="AD4" s="16">
        <v>0.52657646430036509</v>
      </c>
      <c r="AI4" s="19">
        <v>2</v>
      </c>
      <c r="AJ4" s="20">
        <v>95</v>
      </c>
      <c r="AK4" s="16">
        <v>0.36</v>
      </c>
      <c r="AL4" s="14">
        <v>0.12861531389963515</v>
      </c>
      <c r="AM4" s="21">
        <v>0.56707889287048885</v>
      </c>
      <c r="AN4" s="20">
        <v>85</v>
      </c>
      <c r="AO4" s="16">
        <v>0.44</v>
      </c>
      <c r="AP4" s="14">
        <v>0.6867885133383238</v>
      </c>
      <c r="AQ4" s="21">
        <v>0</v>
      </c>
      <c r="AR4" s="20">
        <v>60</v>
      </c>
      <c r="AS4" s="16">
        <v>0.37</v>
      </c>
      <c r="AT4" s="14">
        <v>0.61033471780112858</v>
      </c>
      <c r="AU4" s="21">
        <v>0.21879175295505937</v>
      </c>
      <c r="AV4" s="19">
        <v>67</v>
      </c>
      <c r="AW4" s="22">
        <v>24.251275051773032</v>
      </c>
      <c r="AX4" s="22">
        <v>14.940999999999995</v>
      </c>
      <c r="AY4" s="21">
        <v>0.22299999999999992</v>
      </c>
    </row>
    <row r="5" spans="1:51" x14ac:dyDescent="0.4">
      <c r="A5" s="13">
        <v>90</v>
      </c>
      <c r="B5" s="14">
        <v>0.37</v>
      </c>
      <c r="C5" s="14">
        <v>0.44071733203681207</v>
      </c>
      <c r="D5" s="14">
        <v>4.4444444444444398E-2</v>
      </c>
      <c r="E5" s="2">
        <v>75</v>
      </c>
      <c r="F5" s="14">
        <v>0.36</v>
      </c>
      <c r="G5" s="14">
        <v>0.58375590752139839</v>
      </c>
      <c r="H5" s="14">
        <v>1</v>
      </c>
      <c r="I5" s="2">
        <v>60</v>
      </c>
      <c r="J5" s="14">
        <v>0.37</v>
      </c>
      <c r="K5" s="14">
        <v>0.70443590911304244</v>
      </c>
      <c r="L5" s="14">
        <v>0</v>
      </c>
      <c r="M5" s="15">
        <v>79</v>
      </c>
      <c r="N5" s="14">
        <v>28.479999999999997</v>
      </c>
      <c r="O5" s="14">
        <v>45.544562392252125</v>
      </c>
      <c r="P5" s="14">
        <f t="shared" si="0"/>
        <v>0.57651344800319149</v>
      </c>
      <c r="Q5" s="16">
        <v>3</v>
      </c>
      <c r="T5" s="16">
        <v>3.0000000000000001E-3</v>
      </c>
      <c r="U5" s="16">
        <v>898.76</v>
      </c>
      <c r="V5" s="16">
        <v>0.367140522875817</v>
      </c>
      <c r="W5" s="16">
        <v>1373.343847642567</v>
      </c>
      <c r="X5" s="16">
        <v>0.56100647371019896</v>
      </c>
      <c r="Z5" s="16">
        <v>3.0000000000000001E-3</v>
      </c>
      <c r="AA5" s="18">
        <v>1</v>
      </c>
      <c r="AB5" s="23">
        <v>0</v>
      </c>
      <c r="AC5" s="16" t="e">
        <v>#DIV/0!</v>
      </c>
      <c r="AD5" s="16">
        <v>0.53982783727702899</v>
      </c>
      <c r="AI5" s="19">
        <v>3</v>
      </c>
      <c r="AJ5" s="20">
        <v>90</v>
      </c>
      <c r="AK5" s="16">
        <v>0.37</v>
      </c>
      <c r="AL5" s="14">
        <v>0.44071733203681207</v>
      </c>
      <c r="AM5" s="21">
        <v>4.4444444444444398E-2</v>
      </c>
      <c r="AN5" s="20">
        <v>75</v>
      </c>
      <c r="AO5" s="16">
        <v>0.36</v>
      </c>
      <c r="AP5" s="14">
        <v>0.58375590752139839</v>
      </c>
      <c r="AQ5" s="21">
        <v>1</v>
      </c>
      <c r="AR5" s="20">
        <v>60</v>
      </c>
      <c r="AS5" s="16">
        <v>0.37</v>
      </c>
      <c r="AT5" s="14">
        <v>0.70443590911304244</v>
      </c>
      <c r="AU5" s="21">
        <v>0</v>
      </c>
      <c r="AV5" s="19">
        <v>79</v>
      </c>
      <c r="AW5" s="22">
        <v>28.479999999999997</v>
      </c>
      <c r="AX5" s="22">
        <v>45.544562392252125</v>
      </c>
      <c r="AY5" s="21">
        <v>0.57651344800319149</v>
      </c>
    </row>
    <row r="6" spans="1:51" x14ac:dyDescent="0.4">
      <c r="A6" s="13">
        <v>60</v>
      </c>
      <c r="B6" s="14">
        <v>0.35</v>
      </c>
      <c r="C6" s="14">
        <v>0.38637652398589806</v>
      </c>
      <c r="D6" s="14">
        <v>1</v>
      </c>
      <c r="E6" s="2">
        <v>80</v>
      </c>
      <c r="F6" s="14">
        <v>0.39</v>
      </c>
      <c r="G6" s="14">
        <v>0.64348714670966578</v>
      </c>
      <c r="H6" s="14">
        <v>0</v>
      </c>
      <c r="I6" s="2">
        <v>60</v>
      </c>
      <c r="J6" s="14">
        <v>0.38</v>
      </c>
      <c r="K6" s="14">
        <v>0.57528829563845907</v>
      </c>
      <c r="L6" s="14">
        <v>0.39999999999999991</v>
      </c>
      <c r="M6" s="15">
        <v>84</v>
      </c>
      <c r="N6" s="14">
        <v>30.119999999999997</v>
      </c>
      <c r="O6" s="14">
        <v>36.989510534476899</v>
      </c>
      <c r="P6" s="14">
        <f>O6/M6</f>
        <v>0.44035131588662974</v>
      </c>
      <c r="Q6" s="16">
        <v>4</v>
      </c>
      <c r="T6" s="16">
        <v>4.0000000000000001E-3</v>
      </c>
      <c r="U6" s="16">
        <v>898.76</v>
      </c>
      <c r="V6" s="16">
        <v>0.367140522875817</v>
      </c>
      <c r="W6" s="16">
        <v>1373.343847642567</v>
      </c>
      <c r="X6" s="16">
        <v>0.56100647371019896</v>
      </c>
      <c r="Z6" s="16">
        <v>4.0000000000000001E-3</v>
      </c>
      <c r="AA6" s="18">
        <v>1</v>
      </c>
      <c r="AB6" s="23">
        <v>0</v>
      </c>
      <c r="AC6" s="16" t="e">
        <v>#DIV/0!</v>
      </c>
      <c r="AD6" s="16">
        <v>0.55303511662361404</v>
      </c>
      <c r="AI6" s="19">
        <v>4</v>
      </c>
      <c r="AJ6" s="20">
        <v>60</v>
      </c>
      <c r="AK6" s="16">
        <v>0.35</v>
      </c>
      <c r="AL6" s="14">
        <v>0.38637652398589806</v>
      </c>
      <c r="AM6" s="21">
        <v>1</v>
      </c>
      <c r="AN6" s="20">
        <v>80</v>
      </c>
      <c r="AO6" s="16">
        <v>0.39</v>
      </c>
      <c r="AP6" s="14">
        <v>0.64348714670966578</v>
      </c>
      <c r="AQ6" s="21">
        <v>0</v>
      </c>
      <c r="AR6" s="20">
        <v>60</v>
      </c>
      <c r="AS6" s="16">
        <v>0.38</v>
      </c>
      <c r="AT6" s="14">
        <v>0.57528829563845907</v>
      </c>
      <c r="AU6" s="21">
        <v>0.39999999999999991</v>
      </c>
      <c r="AV6" s="19">
        <v>84</v>
      </c>
      <c r="AW6" s="22">
        <v>30.119999999999997</v>
      </c>
      <c r="AX6" s="22">
        <v>36.989510534476899</v>
      </c>
      <c r="AY6" s="21">
        <v>0.44035131588662974</v>
      </c>
    </row>
    <row r="7" spans="1:51" x14ac:dyDescent="0.4">
      <c r="A7" s="13">
        <v>90</v>
      </c>
      <c r="B7" s="14">
        <v>0.36</v>
      </c>
      <c r="C7" s="14">
        <v>0.22373117036947263</v>
      </c>
      <c r="D7" s="14">
        <v>0.68888888888888888</v>
      </c>
      <c r="E7" s="2">
        <v>75</v>
      </c>
      <c r="F7" s="14">
        <v>0.38</v>
      </c>
      <c r="G7" s="14">
        <v>0.53537171962413621</v>
      </c>
      <c r="H7" s="14">
        <v>0</v>
      </c>
      <c r="I7" s="2">
        <v>37</v>
      </c>
      <c r="J7" s="14">
        <v>0.43</v>
      </c>
      <c r="K7" s="14">
        <v>0.5853499258513235</v>
      </c>
      <c r="L7" s="14">
        <v>0</v>
      </c>
      <c r="M7" s="15">
        <v>62</v>
      </c>
      <c r="N7" s="14">
        <v>22.32</v>
      </c>
      <c r="O7" s="14">
        <v>13.871332562907304</v>
      </c>
      <c r="P7" s="14">
        <f t="shared" si="0"/>
        <v>0.22373117036947263</v>
      </c>
      <c r="Q7" s="16">
        <v>5</v>
      </c>
      <c r="T7" s="16">
        <v>5.0000000000000001E-3</v>
      </c>
      <c r="U7" s="16">
        <v>898.76</v>
      </c>
      <c r="V7" s="16">
        <v>0.367140522875817</v>
      </c>
      <c r="W7" s="16">
        <v>1373.343847642567</v>
      </c>
      <c r="X7" s="16">
        <v>0.56100647371019896</v>
      </c>
      <c r="Z7" s="16">
        <v>5.0000000000000001E-3</v>
      </c>
      <c r="AA7" s="18">
        <v>1</v>
      </c>
      <c r="AB7" s="23">
        <v>0</v>
      </c>
      <c r="AC7" s="16" t="e">
        <v>#DIV/0!</v>
      </c>
      <c r="AD7" s="16">
        <v>0.56618383261090366</v>
      </c>
      <c r="AI7" s="19">
        <v>5</v>
      </c>
      <c r="AJ7" s="20">
        <v>90</v>
      </c>
      <c r="AK7" s="16">
        <v>0.36</v>
      </c>
      <c r="AL7" s="14">
        <v>0.22373117036947263</v>
      </c>
      <c r="AM7" s="21">
        <v>0.68888888888888888</v>
      </c>
      <c r="AN7" s="20">
        <v>75</v>
      </c>
      <c r="AO7" s="16">
        <v>0.38</v>
      </c>
      <c r="AP7" s="14">
        <v>0.53537171962413621</v>
      </c>
      <c r="AQ7" s="21">
        <v>0</v>
      </c>
      <c r="AR7" s="20">
        <v>37</v>
      </c>
      <c r="AS7" s="16">
        <v>0.43</v>
      </c>
      <c r="AT7" s="14">
        <v>0.5853499258513235</v>
      </c>
      <c r="AU7" s="21">
        <v>0</v>
      </c>
      <c r="AV7" s="19">
        <v>62</v>
      </c>
      <c r="AW7" s="22">
        <v>22.32</v>
      </c>
      <c r="AX7" s="22">
        <v>13.871332562907304</v>
      </c>
      <c r="AY7" s="21">
        <v>0.22373117036947263</v>
      </c>
    </row>
    <row r="8" spans="1:51" x14ac:dyDescent="0.4">
      <c r="A8" s="13">
        <v>105</v>
      </c>
      <c r="B8" s="14">
        <v>0.4</v>
      </c>
      <c r="C8" s="14">
        <v>0.3111407977694316</v>
      </c>
      <c r="D8" s="14">
        <v>0.76190476190476186</v>
      </c>
      <c r="E8" s="2">
        <v>70</v>
      </c>
      <c r="F8" s="14">
        <v>0.35</v>
      </c>
      <c r="G8" s="14">
        <v>0.70293956317576423</v>
      </c>
      <c r="H8" s="14">
        <v>1</v>
      </c>
      <c r="I8" s="2">
        <v>35</v>
      </c>
      <c r="J8" s="14">
        <v>0.41</v>
      </c>
      <c r="K8" s="14">
        <v>0.69601506718966522</v>
      </c>
      <c r="L8" s="14">
        <v>0</v>
      </c>
      <c r="M8" s="15">
        <v>150</v>
      </c>
      <c r="N8" s="14">
        <v>56.5</v>
      </c>
      <c r="O8" s="14">
        <v>74.097033243858021</v>
      </c>
      <c r="P8" s="14">
        <f t="shared" si="0"/>
        <v>0.49398022162572014</v>
      </c>
      <c r="Q8" s="16">
        <v>6</v>
      </c>
      <c r="T8" s="16">
        <v>6.0000000000000001E-3</v>
      </c>
      <c r="U8" s="16">
        <v>898.76</v>
      </c>
      <c r="V8" s="16">
        <v>0.367140522875817</v>
      </c>
      <c r="W8" s="16">
        <v>1373.343847642567</v>
      </c>
      <c r="X8" s="16">
        <v>0.56100647371019896</v>
      </c>
      <c r="Z8" s="16">
        <v>6.0000000000000001E-3</v>
      </c>
      <c r="AA8" s="18">
        <v>1</v>
      </c>
      <c r="AB8" s="23">
        <v>0</v>
      </c>
      <c r="AC8" s="16" t="e">
        <v>#DIV/0!</v>
      </c>
      <c r="AD8" s="16">
        <v>0.57925970943910299</v>
      </c>
      <c r="AI8" s="19">
        <v>6</v>
      </c>
      <c r="AJ8" s="20">
        <v>105</v>
      </c>
      <c r="AK8" s="16">
        <v>0.4</v>
      </c>
      <c r="AL8" s="14">
        <v>0.3111407977694316</v>
      </c>
      <c r="AM8" s="21">
        <v>0.76190476190476186</v>
      </c>
      <c r="AN8" s="20">
        <v>70</v>
      </c>
      <c r="AO8" s="16">
        <v>0.35</v>
      </c>
      <c r="AP8" s="14">
        <v>0.70293956317576423</v>
      </c>
      <c r="AQ8" s="21">
        <v>1</v>
      </c>
      <c r="AR8" s="20">
        <v>35</v>
      </c>
      <c r="AS8" s="16">
        <v>0.41</v>
      </c>
      <c r="AT8" s="14">
        <v>0.69601506718966522</v>
      </c>
      <c r="AU8" s="21">
        <v>0</v>
      </c>
      <c r="AV8" s="19">
        <v>150</v>
      </c>
      <c r="AW8" s="22">
        <v>56.5</v>
      </c>
      <c r="AX8" s="22">
        <v>74.097033243858021</v>
      </c>
      <c r="AY8" s="21">
        <v>0.49398022162572014</v>
      </c>
    </row>
    <row r="9" spans="1:51" x14ac:dyDescent="0.4">
      <c r="A9" s="13">
        <v>110</v>
      </c>
      <c r="B9" s="14">
        <v>0.4</v>
      </c>
      <c r="C9" s="14">
        <v>0.38876244665386495</v>
      </c>
      <c r="D9" s="14">
        <v>0</v>
      </c>
      <c r="E9" s="2">
        <v>85</v>
      </c>
      <c r="F9" s="14">
        <v>0.36</v>
      </c>
      <c r="G9" s="14">
        <v>0.49939298930308496</v>
      </c>
      <c r="H9" s="14">
        <v>1</v>
      </c>
      <c r="I9" s="2">
        <v>65</v>
      </c>
      <c r="J9" s="14">
        <v>0.37</v>
      </c>
      <c r="K9" s="14">
        <v>0.84996303082847502</v>
      </c>
      <c r="L9" s="14">
        <v>0.46153846153846168</v>
      </c>
      <c r="M9" s="15">
        <v>115</v>
      </c>
      <c r="N9" s="14">
        <v>41.7</v>
      </c>
      <c r="O9" s="14">
        <v>67.947295015616476</v>
      </c>
      <c r="P9" s="14">
        <f t="shared" si="0"/>
        <v>0.59084604361405635</v>
      </c>
      <c r="Q9" s="16">
        <v>7</v>
      </c>
      <c r="T9" s="16">
        <v>7.0000000000000001E-3</v>
      </c>
      <c r="U9" s="16">
        <v>898.76</v>
      </c>
      <c r="V9" s="16">
        <v>0.367140522875817</v>
      </c>
      <c r="W9" s="16">
        <v>1373.343847642567</v>
      </c>
      <c r="X9" s="16">
        <v>0.56100647371019896</v>
      </c>
      <c r="Z9" s="16">
        <v>7.0000000000000001E-3</v>
      </c>
      <c r="AA9" s="18">
        <v>1</v>
      </c>
      <c r="AB9" s="23">
        <v>0</v>
      </c>
      <c r="AC9" s="16" t="e">
        <v>#DIV/0!</v>
      </c>
      <c r="AD9" s="16">
        <v>0.59224871170310478</v>
      </c>
      <c r="AI9" s="19">
        <v>7</v>
      </c>
      <c r="AJ9" s="20">
        <v>110</v>
      </c>
      <c r="AK9" s="16">
        <v>0.4</v>
      </c>
      <c r="AL9" s="14">
        <v>0.38876244665386495</v>
      </c>
      <c r="AM9" s="21">
        <v>0</v>
      </c>
      <c r="AN9" s="20">
        <v>85</v>
      </c>
      <c r="AO9" s="16">
        <v>0.36</v>
      </c>
      <c r="AP9" s="14">
        <v>0.49939298930308496</v>
      </c>
      <c r="AQ9" s="21">
        <v>1</v>
      </c>
      <c r="AR9" s="20">
        <v>65</v>
      </c>
      <c r="AS9" s="16">
        <v>0.37</v>
      </c>
      <c r="AT9" s="14">
        <v>0.84996303082847502</v>
      </c>
      <c r="AU9" s="21">
        <v>0.46153846153846168</v>
      </c>
      <c r="AV9" s="19">
        <v>115</v>
      </c>
      <c r="AW9" s="22">
        <v>41.7</v>
      </c>
      <c r="AX9" s="22">
        <v>67.947295015616476</v>
      </c>
      <c r="AY9" s="21">
        <v>0.59084604361405635</v>
      </c>
    </row>
    <row r="10" spans="1:51" x14ac:dyDescent="0.4">
      <c r="A10" s="13">
        <v>105</v>
      </c>
      <c r="B10" s="14">
        <v>0.4</v>
      </c>
      <c r="C10" s="14">
        <v>0.71233969397257613</v>
      </c>
      <c r="D10" s="14">
        <v>0.90476190476190477</v>
      </c>
      <c r="E10" s="2">
        <v>60</v>
      </c>
      <c r="F10" s="14">
        <v>0.37</v>
      </c>
      <c r="G10" s="14">
        <v>0.50721295418319678</v>
      </c>
      <c r="H10" s="14">
        <v>1</v>
      </c>
      <c r="I10" s="2">
        <v>80</v>
      </c>
      <c r="J10" s="14">
        <v>0.41</v>
      </c>
      <c r="K10" s="14">
        <v>0.61973340862463178</v>
      </c>
      <c r="L10" s="14">
        <v>0</v>
      </c>
      <c r="M10" s="15">
        <v>155</v>
      </c>
      <c r="N10" s="14">
        <v>60.2</v>
      </c>
      <c r="O10" s="14">
        <v>98.105048178386539</v>
      </c>
      <c r="P10" s="14">
        <f t="shared" si="0"/>
        <v>0.63293579469926797</v>
      </c>
      <c r="Q10" s="16">
        <v>8</v>
      </c>
      <c r="T10" s="16">
        <v>8.0000000000000002E-3</v>
      </c>
      <c r="U10" s="16">
        <v>898.76</v>
      </c>
      <c r="V10" s="16">
        <v>0.367140522875817</v>
      </c>
      <c r="W10" s="16">
        <v>1373.343847642567</v>
      </c>
      <c r="X10" s="16">
        <v>0.56100647371019896</v>
      </c>
      <c r="Z10" s="16">
        <v>8.0000000000000002E-3</v>
      </c>
      <c r="AA10" s="18">
        <v>1</v>
      </c>
      <c r="AB10" s="23">
        <v>0</v>
      </c>
      <c r="AC10" s="16" t="e">
        <v>#DIV/0!</v>
      </c>
      <c r="AD10" s="16">
        <v>0.60513708953597489</v>
      </c>
      <c r="AI10" s="19">
        <v>8</v>
      </c>
      <c r="AJ10" s="20">
        <v>105</v>
      </c>
      <c r="AK10" s="16">
        <v>0.4</v>
      </c>
      <c r="AL10" s="14">
        <v>0.71233969397257613</v>
      </c>
      <c r="AM10" s="21">
        <v>0.90476190476190477</v>
      </c>
      <c r="AN10" s="20">
        <v>60</v>
      </c>
      <c r="AO10" s="16">
        <v>0.37</v>
      </c>
      <c r="AP10" s="14">
        <v>0.50721295418319678</v>
      </c>
      <c r="AQ10" s="21">
        <v>1</v>
      </c>
      <c r="AR10" s="20">
        <v>80</v>
      </c>
      <c r="AS10" s="16">
        <v>0.41</v>
      </c>
      <c r="AT10" s="14">
        <v>0.61973340862463178</v>
      </c>
      <c r="AU10" s="21">
        <v>0</v>
      </c>
      <c r="AV10" s="19">
        <v>155</v>
      </c>
      <c r="AW10" s="22">
        <v>60.2</v>
      </c>
      <c r="AX10" s="22">
        <v>98.105048178386539</v>
      </c>
      <c r="AY10" s="21">
        <v>0.63293579469926797</v>
      </c>
    </row>
    <row r="11" spans="1:51" x14ac:dyDescent="0.4">
      <c r="A11" s="13">
        <v>100</v>
      </c>
      <c r="B11" s="14">
        <v>0.41</v>
      </c>
      <c r="C11" s="14">
        <v>0.63144370298848773</v>
      </c>
      <c r="D11" s="14">
        <v>0</v>
      </c>
      <c r="E11" s="2">
        <v>60</v>
      </c>
      <c r="F11" s="14">
        <v>0.38</v>
      </c>
      <c r="G11" s="14">
        <v>0.53315013055751237</v>
      </c>
      <c r="H11" s="14">
        <v>1</v>
      </c>
      <c r="I11" s="2">
        <v>90</v>
      </c>
      <c r="J11" s="14">
        <v>0.39</v>
      </c>
      <c r="K11" s="14">
        <v>0.7338378812760058</v>
      </c>
      <c r="L11" s="14">
        <v>0.88888888888888884</v>
      </c>
      <c r="M11" s="15">
        <v>140</v>
      </c>
      <c r="N11" s="14">
        <v>54</v>
      </c>
      <c r="O11" s="14">
        <v>90.696038335531199</v>
      </c>
      <c r="P11" s="14">
        <f t="shared" si="0"/>
        <v>0.64782884525379425</v>
      </c>
      <c r="Q11" s="16">
        <v>9</v>
      </c>
      <c r="T11" s="16">
        <v>9.0000000000000011E-3</v>
      </c>
      <c r="U11" s="16">
        <v>898.76</v>
      </c>
      <c r="V11" s="16">
        <v>0.367140522875817</v>
      </c>
      <c r="W11" s="16">
        <v>1373.343847642567</v>
      </c>
      <c r="X11" s="16">
        <v>0.56100647371019896</v>
      </c>
      <c r="Z11" s="16">
        <v>9.0000000000000011E-3</v>
      </c>
      <c r="AA11" s="18">
        <v>1</v>
      </c>
      <c r="AB11" s="23">
        <v>0</v>
      </c>
      <c r="AC11" s="16" t="e">
        <v>#DIV/0!</v>
      </c>
      <c r="AD11" s="16">
        <v>0.61791142218895267</v>
      </c>
      <c r="AI11" s="19">
        <v>9</v>
      </c>
      <c r="AJ11" s="20">
        <v>100</v>
      </c>
      <c r="AK11" s="16">
        <v>0.41</v>
      </c>
      <c r="AL11" s="14">
        <v>0.63144370298848773</v>
      </c>
      <c r="AM11" s="21">
        <v>0</v>
      </c>
      <c r="AN11" s="20">
        <v>60</v>
      </c>
      <c r="AO11" s="16">
        <v>0.38</v>
      </c>
      <c r="AP11" s="14">
        <v>0.53315013055751237</v>
      </c>
      <c r="AQ11" s="21">
        <v>1</v>
      </c>
      <c r="AR11" s="20">
        <v>90</v>
      </c>
      <c r="AS11" s="16">
        <v>0.39</v>
      </c>
      <c r="AT11" s="14">
        <v>0.7338378812760058</v>
      </c>
      <c r="AU11" s="21">
        <v>0.88888888888888884</v>
      </c>
      <c r="AV11" s="19">
        <v>140</v>
      </c>
      <c r="AW11" s="22">
        <v>54</v>
      </c>
      <c r="AX11" s="22">
        <v>90.696038335531199</v>
      </c>
      <c r="AY11" s="21">
        <v>0.64782884525379425</v>
      </c>
    </row>
    <row r="12" spans="1:51" x14ac:dyDescent="0.4">
      <c r="A12" s="13">
        <v>95</v>
      </c>
      <c r="B12" s="14">
        <v>0.44</v>
      </c>
      <c r="C12" s="14">
        <v>0.21951130598434784</v>
      </c>
      <c r="D12" s="14">
        <v>0</v>
      </c>
      <c r="E12" s="2">
        <v>60</v>
      </c>
      <c r="F12" s="14">
        <v>0.36</v>
      </c>
      <c r="G12" s="14">
        <v>0.31967158380051036</v>
      </c>
      <c r="H12" s="14">
        <v>1</v>
      </c>
      <c r="I12" s="2">
        <v>70</v>
      </c>
      <c r="J12" s="14">
        <v>0.39</v>
      </c>
      <c r="K12" s="14">
        <v>0.67414155977287482</v>
      </c>
      <c r="L12" s="14">
        <v>0.58571428571428574</v>
      </c>
      <c r="M12" s="15">
        <v>101</v>
      </c>
      <c r="N12" s="14">
        <v>37.590000000000003</v>
      </c>
      <c r="O12" s="14">
        <v>46.820098978718491</v>
      </c>
      <c r="P12" s="14">
        <f t="shared" si="0"/>
        <v>0.46356533642295533</v>
      </c>
      <c r="Q12" s="16">
        <v>10</v>
      </c>
      <c r="T12" s="16">
        <v>0.01</v>
      </c>
      <c r="U12" s="16">
        <v>898.76</v>
      </c>
      <c r="V12" s="16">
        <v>0.367140522875817</v>
      </c>
      <c r="W12" s="16">
        <v>1373.343847642567</v>
      </c>
      <c r="X12" s="16">
        <v>0.56100647371019896</v>
      </c>
      <c r="Z12" s="16">
        <v>0.01</v>
      </c>
      <c r="AA12" s="18">
        <v>1</v>
      </c>
      <c r="AB12" s="23">
        <v>0</v>
      </c>
      <c r="AC12" s="16" t="e">
        <v>#DIV/0!</v>
      </c>
      <c r="AD12" s="16">
        <v>0.63055865981823644</v>
      </c>
      <c r="AI12" s="19">
        <v>10</v>
      </c>
      <c r="AJ12" s="20">
        <v>95</v>
      </c>
      <c r="AK12" s="16">
        <v>0.44</v>
      </c>
      <c r="AL12" s="14">
        <v>0.21951130598434784</v>
      </c>
      <c r="AM12" s="21">
        <v>0</v>
      </c>
      <c r="AN12" s="20">
        <v>60</v>
      </c>
      <c r="AO12" s="16">
        <v>0.36</v>
      </c>
      <c r="AP12" s="14">
        <v>0.31967158380051036</v>
      </c>
      <c r="AQ12" s="21">
        <v>1</v>
      </c>
      <c r="AR12" s="20">
        <v>70</v>
      </c>
      <c r="AS12" s="16">
        <v>0.39</v>
      </c>
      <c r="AT12" s="14">
        <v>0.67414155977287482</v>
      </c>
      <c r="AU12" s="21">
        <v>0.58571428571428574</v>
      </c>
      <c r="AV12" s="19">
        <v>101</v>
      </c>
      <c r="AW12" s="22">
        <v>37.590000000000003</v>
      </c>
      <c r="AX12" s="22">
        <v>46.820098978718491</v>
      </c>
      <c r="AY12" s="21">
        <v>0.46356533642295533</v>
      </c>
    </row>
    <row r="13" spans="1:51" x14ac:dyDescent="0.4">
      <c r="A13" s="13">
        <v>90</v>
      </c>
      <c r="B13" s="14">
        <v>0.49</v>
      </c>
      <c r="C13" s="14">
        <v>0.6579923466331854</v>
      </c>
      <c r="D13" s="14">
        <v>0</v>
      </c>
      <c r="E13" s="2">
        <v>60</v>
      </c>
      <c r="F13" s="14">
        <v>0.35</v>
      </c>
      <c r="G13" s="14">
        <v>0.75793802928150988</v>
      </c>
      <c r="H13" s="14">
        <v>1</v>
      </c>
      <c r="I13" s="2">
        <v>90</v>
      </c>
      <c r="J13" s="14">
        <v>0.38</v>
      </c>
      <c r="K13" s="14">
        <v>0.80843561388144669</v>
      </c>
      <c r="L13" s="14">
        <v>0.25555555555555554</v>
      </c>
      <c r="M13" s="15">
        <v>83</v>
      </c>
      <c r="N13" s="14">
        <v>29.740000000000002</v>
      </c>
      <c r="O13" s="14">
        <v>64.07030087616387</v>
      </c>
      <c r="P13" s="14">
        <f t="shared" si="0"/>
        <v>0.77193133585739604</v>
      </c>
      <c r="Q13" s="16">
        <v>11</v>
      </c>
      <c r="T13" s="16">
        <v>1.0999999999999999E-2</v>
      </c>
      <c r="U13" s="16">
        <v>898.76</v>
      </c>
      <c r="V13" s="16">
        <v>0.367140522875817</v>
      </c>
      <c r="W13" s="16">
        <v>1373.343847642567</v>
      </c>
      <c r="X13" s="16">
        <v>0.56100647371019896</v>
      </c>
      <c r="Z13" s="16">
        <v>1.0999999999999999E-2</v>
      </c>
      <c r="AA13" s="18">
        <v>1</v>
      </c>
      <c r="AB13" s="23">
        <v>0</v>
      </c>
      <c r="AC13" s="16" t="e">
        <v>#DIV/0!</v>
      </c>
      <c r="AD13" s="16">
        <v>0.64306616326250143</v>
      </c>
      <c r="AI13" s="19">
        <v>11</v>
      </c>
      <c r="AJ13" s="20">
        <v>90</v>
      </c>
      <c r="AK13" s="16">
        <v>0.49</v>
      </c>
      <c r="AL13" s="14">
        <v>0.6579923466331854</v>
      </c>
      <c r="AM13" s="21">
        <v>0</v>
      </c>
      <c r="AN13" s="20">
        <v>60</v>
      </c>
      <c r="AO13" s="16">
        <v>0.35</v>
      </c>
      <c r="AP13" s="14">
        <v>0.75793802928150988</v>
      </c>
      <c r="AQ13" s="21">
        <v>1</v>
      </c>
      <c r="AR13" s="20">
        <v>90</v>
      </c>
      <c r="AS13" s="16">
        <v>0.38</v>
      </c>
      <c r="AT13" s="14">
        <v>0.80843561388144669</v>
      </c>
      <c r="AU13" s="21">
        <v>0.25555555555555554</v>
      </c>
      <c r="AV13" s="19">
        <v>83</v>
      </c>
      <c r="AW13" s="22">
        <v>29.740000000000002</v>
      </c>
      <c r="AX13" s="22">
        <v>64.07030087616387</v>
      </c>
      <c r="AY13" s="21">
        <v>0.77193133585739604</v>
      </c>
    </row>
    <row r="14" spans="1:51" x14ac:dyDescent="0.4">
      <c r="A14" s="13">
        <v>90</v>
      </c>
      <c r="B14" s="14">
        <v>0.36</v>
      </c>
      <c r="C14" s="14">
        <v>0.42704042249461055</v>
      </c>
      <c r="D14" s="14">
        <v>0.94444444444444453</v>
      </c>
      <c r="E14" s="2">
        <v>75</v>
      </c>
      <c r="F14" s="14">
        <v>0.38</v>
      </c>
      <c r="G14" s="14">
        <v>0.6466190539456198</v>
      </c>
      <c r="H14" s="14">
        <v>0</v>
      </c>
      <c r="I14" s="2">
        <v>60</v>
      </c>
      <c r="J14" s="14">
        <v>0.38</v>
      </c>
      <c r="K14" s="14">
        <v>0.58779357049477643</v>
      </c>
      <c r="L14" s="14">
        <v>0</v>
      </c>
      <c r="M14" s="15">
        <v>85</v>
      </c>
      <c r="N14" s="14">
        <v>30.6</v>
      </c>
      <c r="O14" s="14">
        <v>36.298435912041896</v>
      </c>
      <c r="P14" s="14">
        <f t="shared" si="0"/>
        <v>0.42704042249461055</v>
      </c>
      <c r="Q14" s="16">
        <v>12</v>
      </c>
      <c r="T14" s="16">
        <v>1.2E-2</v>
      </c>
      <c r="U14" s="16">
        <v>898.76</v>
      </c>
      <c r="V14" s="16">
        <v>0.367140522875817</v>
      </c>
      <c r="W14" s="16">
        <v>1373.343847642567</v>
      </c>
      <c r="X14" s="16">
        <v>0.56100647371019896</v>
      </c>
      <c r="Z14" s="16">
        <v>1.2E-2</v>
      </c>
      <c r="AA14" s="18">
        <v>1</v>
      </c>
      <c r="AB14" s="23">
        <v>0</v>
      </c>
      <c r="AC14" s="16" t="e">
        <v>#DIV/0!</v>
      </c>
      <c r="AD14" s="16">
        <v>0.65542174161032429</v>
      </c>
      <c r="AI14" s="19">
        <v>12</v>
      </c>
      <c r="AJ14" s="20">
        <v>90</v>
      </c>
      <c r="AK14" s="16">
        <v>0.36</v>
      </c>
      <c r="AL14" s="14">
        <v>0.42704042249461055</v>
      </c>
      <c r="AM14" s="21">
        <v>0.94444444444444453</v>
      </c>
      <c r="AN14" s="20">
        <v>75</v>
      </c>
      <c r="AO14" s="16">
        <v>0.38</v>
      </c>
      <c r="AP14" s="14">
        <v>0.6466190539456198</v>
      </c>
      <c r="AQ14" s="21">
        <v>0</v>
      </c>
      <c r="AR14" s="20">
        <v>60</v>
      </c>
      <c r="AS14" s="16">
        <v>0.38</v>
      </c>
      <c r="AT14" s="14">
        <v>0.58779357049477643</v>
      </c>
      <c r="AU14" s="21">
        <v>0</v>
      </c>
      <c r="AV14" s="19">
        <v>85</v>
      </c>
      <c r="AW14" s="22">
        <v>30.6</v>
      </c>
      <c r="AX14" s="22">
        <v>36.298435912041896</v>
      </c>
      <c r="AY14" s="21">
        <v>0.42704042249461055</v>
      </c>
    </row>
    <row r="15" spans="1:51" x14ac:dyDescent="0.4">
      <c r="A15" s="13">
        <v>95</v>
      </c>
      <c r="B15" s="14">
        <v>0.36</v>
      </c>
      <c r="C15" s="14">
        <v>0.34819451268103435</v>
      </c>
      <c r="D15" s="14">
        <v>0.20000000000000007</v>
      </c>
      <c r="E15" s="2">
        <v>80</v>
      </c>
      <c r="F15" s="14">
        <v>0.38</v>
      </c>
      <c r="G15" s="14">
        <v>0.53860716808302966</v>
      </c>
      <c r="H15" s="14">
        <v>0</v>
      </c>
      <c r="I15" s="2">
        <v>60</v>
      </c>
      <c r="J15" s="14">
        <v>0.34</v>
      </c>
      <c r="K15" s="14">
        <v>0.69995574641649738</v>
      </c>
      <c r="L15" s="14">
        <v>1</v>
      </c>
      <c r="M15" s="15">
        <v>79</v>
      </c>
      <c r="N15" s="14">
        <v>27.240000000000002</v>
      </c>
      <c r="O15" s="14">
        <v>48.613040525929499</v>
      </c>
      <c r="P15" s="14">
        <f t="shared" si="0"/>
        <v>0.61535494336619623</v>
      </c>
      <c r="Q15" s="16">
        <v>13</v>
      </c>
      <c r="T15" s="16">
        <v>1.3000000000000001E-2</v>
      </c>
      <c r="U15" s="16">
        <v>898.76</v>
      </c>
      <c r="V15" s="16">
        <v>0.367140522875817</v>
      </c>
      <c r="W15" s="16">
        <v>1373.343847642567</v>
      </c>
      <c r="X15" s="16">
        <v>0.56100647371019896</v>
      </c>
      <c r="Z15" s="16">
        <v>1.3000000000000001E-2</v>
      </c>
      <c r="AA15" s="18">
        <v>1</v>
      </c>
      <c r="AB15" s="23">
        <v>0</v>
      </c>
      <c r="AC15" s="16" t="e">
        <v>#DIV/0!</v>
      </c>
      <c r="AD15" s="16">
        <v>0.66761368737332494</v>
      </c>
      <c r="AI15" s="19">
        <v>13</v>
      </c>
      <c r="AJ15" s="20">
        <v>95</v>
      </c>
      <c r="AK15" s="16">
        <v>0.36</v>
      </c>
      <c r="AL15" s="14">
        <v>0.34819451268103435</v>
      </c>
      <c r="AM15" s="21">
        <v>0.20000000000000007</v>
      </c>
      <c r="AN15" s="20">
        <v>80</v>
      </c>
      <c r="AO15" s="16">
        <v>0.38</v>
      </c>
      <c r="AP15" s="14">
        <v>0.53860716808302966</v>
      </c>
      <c r="AQ15" s="21">
        <v>0</v>
      </c>
      <c r="AR15" s="20">
        <v>60</v>
      </c>
      <c r="AS15" s="16">
        <v>0.34</v>
      </c>
      <c r="AT15" s="14">
        <v>0.69995574641649738</v>
      </c>
      <c r="AU15" s="21">
        <v>1</v>
      </c>
      <c r="AV15" s="19">
        <v>79</v>
      </c>
      <c r="AW15" s="22">
        <v>27.240000000000002</v>
      </c>
      <c r="AX15" s="22">
        <v>48.613040525929499</v>
      </c>
      <c r="AY15" s="21">
        <v>0.61535494336619623</v>
      </c>
    </row>
    <row r="16" spans="1:51" x14ac:dyDescent="0.4">
      <c r="A16" s="13">
        <v>95</v>
      </c>
      <c r="B16" s="14">
        <v>0.4</v>
      </c>
      <c r="C16" s="14">
        <v>0.42597429038260959</v>
      </c>
      <c r="D16" s="14">
        <v>0.15789473684210531</v>
      </c>
      <c r="E16" s="2">
        <v>85</v>
      </c>
      <c r="F16" s="14">
        <v>0.41</v>
      </c>
      <c r="G16" s="14">
        <v>0.75112985400952281</v>
      </c>
      <c r="H16" s="14">
        <v>0</v>
      </c>
      <c r="I16" s="2">
        <v>60</v>
      </c>
      <c r="J16" s="14">
        <v>0.36</v>
      </c>
      <c r="K16" s="14">
        <v>0.75195270211122234</v>
      </c>
      <c r="L16" s="14">
        <v>1</v>
      </c>
      <c r="M16" s="15">
        <v>75</v>
      </c>
      <c r="N16" s="14">
        <v>27.6</v>
      </c>
      <c r="O16" s="14">
        <v>51.506776482412491</v>
      </c>
      <c r="P16" s="14">
        <f t="shared" si="0"/>
        <v>0.68675701976549985</v>
      </c>
      <c r="Q16" s="16">
        <v>14</v>
      </c>
      <c r="T16" s="16">
        <v>1.4E-2</v>
      </c>
      <c r="U16" s="16">
        <v>898.76</v>
      </c>
      <c r="V16" s="16">
        <v>0.367140522875817</v>
      </c>
      <c r="W16" s="16">
        <v>1373.343847642567</v>
      </c>
      <c r="X16" s="16">
        <v>0.56100647371019896</v>
      </c>
      <c r="Z16" s="16">
        <v>1.4E-2</v>
      </c>
      <c r="AA16" s="18">
        <v>1</v>
      </c>
      <c r="AB16" s="23">
        <v>0</v>
      </c>
      <c r="AC16" s="16" t="e">
        <v>#DIV/0!</v>
      </c>
      <c r="AD16" s="16">
        <v>0.67963080909872964</v>
      </c>
      <c r="AI16" s="19">
        <v>14</v>
      </c>
      <c r="AJ16" s="20">
        <v>95</v>
      </c>
      <c r="AK16" s="16">
        <v>0.4</v>
      </c>
      <c r="AL16" s="14">
        <v>0.42597429038260959</v>
      </c>
      <c r="AM16" s="21">
        <v>0.15789473684210531</v>
      </c>
      <c r="AN16" s="20">
        <v>85</v>
      </c>
      <c r="AO16" s="16">
        <v>0.41</v>
      </c>
      <c r="AP16" s="14">
        <v>0.75112985400952281</v>
      </c>
      <c r="AQ16" s="21">
        <v>0</v>
      </c>
      <c r="AR16" s="20">
        <v>60</v>
      </c>
      <c r="AS16" s="16">
        <v>0.36</v>
      </c>
      <c r="AT16" s="14">
        <v>0.75195270211122234</v>
      </c>
      <c r="AU16" s="21">
        <v>1</v>
      </c>
      <c r="AV16" s="19">
        <v>75</v>
      </c>
      <c r="AW16" s="22">
        <v>27.6</v>
      </c>
      <c r="AX16" s="22">
        <v>51.506776482412491</v>
      </c>
      <c r="AY16" s="21">
        <v>0.68675701976549985</v>
      </c>
    </row>
    <row r="17" spans="1:51" x14ac:dyDescent="0.4">
      <c r="A17" s="13">
        <v>90</v>
      </c>
      <c r="B17" s="14">
        <v>0.4</v>
      </c>
      <c r="C17" s="14">
        <v>0.33400339417002251</v>
      </c>
      <c r="D17" s="14">
        <v>0</v>
      </c>
      <c r="E17" s="2">
        <v>90</v>
      </c>
      <c r="F17" s="14">
        <v>0.35</v>
      </c>
      <c r="G17" s="14">
        <v>0.44294835811463018</v>
      </c>
      <c r="H17" s="14">
        <v>1</v>
      </c>
      <c r="I17" s="2">
        <v>60</v>
      </c>
      <c r="J17" s="14">
        <v>0.38</v>
      </c>
      <c r="K17" s="14">
        <v>0.80676102178808662</v>
      </c>
      <c r="L17" s="14">
        <v>0.58333333333333348</v>
      </c>
      <c r="M17" s="15">
        <v>125</v>
      </c>
      <c r="N17" s="14">
        <v>44.8</v>
      </c>
      <c r="O17" s="14">
        <v>68.101987992899751</v>
      </c>
      <c r="P17" s="14">
        <f t="shared" si="0"/>
        <v>0.54481590394319801</v>
      </c>
      <c r="Q17" s="16">
        <v>15</v>
      </c>
      <c r="T17" s="16">
        <v>1.4999999999999999E-2</v>
      </c>
      <c r="U17" s="16">
        <v>898.76</v>
      </c>
      <c r="V17" s="16">
        <v>0.367140522875817</v>
      </c>
      <c r="W17" s="16">
        <v>1373.343847642567</v>
      </c>
      <c r="X17" s="16">
        <v>0.56100647371019896</v>
      </c>
      <c r="Z17" s="16">
        <v>1.4999999999999999E-2</v>
      </c>
      <c r="AA17" s="18">
        <v>1</v>
      </c>
      <c r="AB17" s="23">
        <v>0</v>
      </c>
      <c r="AC17" s="16" t="e">
        <v>#DIV/0!</v>
      </c>
      <c r="AD17" s="16">
        <v>0.69146246127401312</v>
      </c>
      <c r="AI17" s="19">
        <v>15</v>
      </c>
      <c r="AJ17" s="20">
        <v>90</v>
      </c>
      <c r="AK17" s="16">
        <v>0.4</v>
      </c>
      <c r="AL17" s="14">
        <v>0.33400339417002251</v>
      </c>
      <c r="AM17" s="21">
        <v>0</v>
      </c>
      <c r="AN17" s="20">
        <v>90</v>
      </c>
      <c r="AO17" s="16">
        <v>0.35</v>
      </c>
      <c r="AP17" s="14">
        <v>0.44294835811463018</v>
      </c>
      <c r="AQ17" s="21">
        <v>1</v>
      </c>
      <c r="AR17" s="20">
        <v>60</v>
      </c>
      <c r="AS17" s="16">
        <v>0.38</v>
      </c>
      <c r="AT17" s="14">
        <v>0.80676102178808662</v>
      </c>
      <c r="AU17" s="21">
        <v>0.58333333333333348</v>
      </c>
      <c r="AV17" s="19">
        <v>125</v>
      </c>
      <c r="AW17" s="22">
        <v>44.8</v>
      </c>
      <c r="AX17" s="22">
        <v>68.101987992899751</v>
      </c>
      <c r="AY17" s="21">
        <v>0.54481590394319801</v>
      </c>
    </row>
    <row r="18" spans="1:51" x14ac:dyDescent="0.4">
      <c r="A18" s="13">
        <v>90</v>
      </c>
      <c r="B18" s="14">
        <v>0.35</v>
      </c>
      <c r="C18" s="14">
        <v>0.3420855651783688</v>
      </c>
      <c r="D18" s="14">
        <v>0.84444444444444444</v>
      </c>
      <c r="E18" s="2">
        <v>65</v>
      </c>
      <c r="F18" s="14">
        <v>0.35</v>
      </c>
      <c r="G18" s="14">
        <v>0.60387575539145089</v>
      </c>
      <c r="H18" s="14">
        <v>0</v>
      </c>
      <c r="I18" s="2">
        <v>80</v>
      </c>
      <c r="J18" s="14">
        <v>0.37</v>
      </c>
      <c r="K18" s="14">
        <v>0.85112118955039506</v>
      </c>
      <c r="L18" s="14">
        <v>0</v>
      </c>
      <c r="M18" s="15">
        <v>76</v>
      </c>
      <c r="N18" s="14">
        <v>26.599999999999998</v>
      </c>
      <c r="O18" s="14">
        <v>25.998502953556031</v>
      </c>
      <c r="P18" s="14">
        <f t="shared" si="0"/>
        <v>0.3420855651783688</v>
      </c>
      <c r="Q18" s="16">
        <v>16</v>
      </c>
      <c r="T18" s="16">
        <v>1.6E-2</v>
      </c>
      <c r="U18" s="16">
        <v>898.76</v>
      </c>
      <c r="V18" s="16">
        <v>0.367140522875817</v>
      </c>
      <c r="W18" s="16">
        <v>1373.343847642567</v>
      </c>
      <c r="X18" s="16">
        <v>0.56100647371019896</v>
      </c>
      <c r="Z18" s="16">
        <v>1.6E-2</v>
      </c>
      <c r="AA18" s="18">
        <v>1</v>
      </c>
      <c r="AB18" s="23">
        <v>0</v>
      </c>
      <c r="AC18" s="16" t="e">
        <v>#DIV/0!</v>
      </c>
      <c r="AD18" s="16">
        <v>0.70309857139614884</v>
      </c>
      <c r="AI18" s="19">
        <v>16</v>
      </c>
      <c r="AJ18" s="20">
        <v>90</v>
      </c>
      <c r="AK18" s="16">
        <v>0.35</v>
      </c>
      <c r="AL18" s="14">
        <v>0.3420855651783688</v>
      </c>
      <c r="AM18" s="21">
        <v>0.84444444444444444</v>
      </c>
      <c r="AN18" s="20">
        <v>65</v>
      </c>
      <c r="AO18" s="16">
        <v>0.35</v>
      </c>
      <c r="AP18" s="14">
        <v>0.60387575539145089</v>
      </c>
      <c r="AQ18" s="21">
        <v>0</v>
      </c>
      <c r="AR18" s="20">
        <v>80</v>
      </c>
      <c r="AS18" s="16">
        <v>0.37</v>
      </c>
      <c r="AT18" s="14">
        <v>0.85112118955039506</v>
      </c>
      <c r="AU18" s="21">
        <v>0</v>
      </c>
      <c r="AV18" s="19">
        <v>76</v>
      </c>
      <c r="AW18" s="22">
        <v>26.599999999999998</v>
      </c>
      <c r="AX18" s="22">
        <v>25.998502953556031</v>
      </c>
      <c r="AY18" s="21">
        <v>0.3420855651783688</v>
      </c>
    </row>
    <row r="19" spans="1:51" x14ac:dyDescent="0.4">
      <c r="A19" s="13">
        <v>120</v>
      </c>
      <c r="B19" s="14">
        <v>0.36</v>
      </c>
      <c r="C19" s="14">
        <v>0.50346976077854644</v>
      </c>
      <c r="D19" s="14">
        <v>0.83333333333333337</v>
      </c>
      <c r="E19" s="2">
        <v>65</v>
      </c>
      <c r="F19" s="14">
        <v>0.35</v>
      </c>
      <c r="G19" s="14">
        <v>0.5899552958392642</v>
      </c>
      <c r="H19" s="14">
        <v>1</v>
      </c>
      <c r="I19" s="2">
        <v>70</v>
      </c>
      <c r="J19" s="14">
        <v>0.42</v>
      </c>
      <c r="K19" s="14">
        <v>0.70529311331754252</v>
      </c>
      <c r="L19" s="14">
        <v>0</v>
      </c>
      <c r="M19" s="15">
        <v>165</v>
      </c>
      <c r="N19" s="14">
        <v>58.75</v>
      </c>
      <c r="O19" s="14">
        <v>88.694070307406818</v>
      </c>
      <c r="P19" s="14">
        <f t="shared" si="0"/>
        <v>0.53753982004488976</v>
      </c>
      <c r="Q19" s="16">
        <v>17</v>
      </c>
      <c r="T19" s="16">
        <v>1.7000000000000001E-2</v>
      </c>
      <c r="U19" s="16">
        <v>898.76</v>
      </c>
      <c r="V19" s="16">
        <v>0.367140522875817</v>
      </c>
      <c r="W19" s="16">
        <v>1373.343847642567</v>
      </c>
      <c r="X19" s="16">
        <v>0.56100647371019896</v>
      </c>
      <c r="Z19" s="16">
        <v>1.7000000000000001E-2</v>
      </c>
      <c r="AA19" s="18">
        <v>1</v>
      </c>
      <c r="AB19" s="23">
        <v>0</v>
      </c>
      <c r="AC19" s="16" t="e">
        <v>#DIV/0!</v>
      </c>
      <c r="AD19" s="16">
        <v>0.71452966409855612</v>
      </c>
      <c r="AI19" s="19">
        <v>17</v>
      </c>
      <c r="AJ19" s="20">
        <v>120</v>
      </c>
      <c r="AK19" s="16">
        <v>0.36</v>
      </c>
      <c r="AL19" s="14">
        <v>0.50346976077854644</v>
      </c>
      <c r="AM19" s="21">
        <v>0.83333333333333337</v>
      </c>
      <c r="AN19" s="20">
        <v>65</v>
      </c>
      <c r="AO19" s="16">
        <v>0.35</v>
      </c>
      <c r="AP19" s="14">
        <v>0.5899552958392642</v>
      </c>
      <c r="AQ19" s="21">
        <v>1</v>
      </c>
      <c r="AR19" s="20">
        <v>70</v>
      </c>
      <c r="AS19" s="16">
        <v>0.42</v>
      </c>
      <c r="AT19" s="14">
        <v>0.70529311331754252</v>
      </c>
      <c r="AU19" s="21">
        <v>0</v>
      </c>
      <c r="AV19" s="19">
        <v>165</v>
      </c>
      <c r="AW19" s="22">
        <v>58.75</v>
      </c>
      <c r="AX19" s="22">
        <v>88.694070307406818</v>
      </c>
      <c r="AY19" s="21">
        <v>0.53753982004488976</v>
      </c>
    </row>
    <row r="20" spans="1:51" x14ac:dyDescent="0.4">
      <c r="A20" s="13">
        <v>115</v>
      </c>
      <c r="B20" s="14">
        <v>0.37</v>
      </c>
      <c r="C20" s="14">
        <v>0.4954034489800479</v>
      </c>
      <c r="D20" s="14">
        <v>0.65217391304347838</v>
      </c>
      <c r="E20" s="2">
        <v>65</v>
      </c>
      <c r="F20" s="14">
        <v>0.36</v>
      </c>
      <c r="G20" s="14">
        <v>0.64602067391655016</v>
      </c>
      <c r="H20" s="14">
        <v>1</v>
      </c>
      <c r="I20" s="2">
        <v>80</v>
      </c>
      <c r="J20" s="14">
        <v>0.4</v>
      </c>
      <c r="K20" s="14">
        <v>0.54754096893623905</v>
      </c>
      <c r="L20" s="14">
        <v>0</v>
      </c>
      <c r="M20" s="15">
        <v>140</v>
      </c>
      <c r="N20" s="14">
        <v>51.150000000000006</v>
      </c>
      <c r="O20" s="14">
        <v>79.146602478079359</v>
      </c>
      <c r="P20" s="14">
        <f t="shared" si="0"/>
        <v>0.56533287484342398</v>
      </c>
      <c r="Q20" s="16">
        <v>18</v>
      </c>
      <c r="T20" s="16">
        <v>1.8000000000000002E-2</v>
      </c>
      <c r="U20" s="16">
        <v>898.76</v>
      </c>
      <c r="V20" s="16">
        <v>0.367140522875817</v>
      </c>
      <c r="W20" s="16">
        <v>1373.343847642567</v>
      </c>
      <c r="X20" s="16">
        <v>0.56100647371019896</v>
      </c>
      <c r="Z20" s="16">
        <v>1.8000000000000002E-2</v>
      </c>
      <c r="AA20" s="18">
        <v>1</v>
      </c>
      <c r="AB20" s="23">
        <v>0</v>
      </c>
      <c r="AC20" s="16" t="e">
        <v>#DIV/0!</v>
      </c>
      <c r="AD20" s="16">
        <v>0.72574688224992645</v>
      </c>
      <c r="AI20" s="19">
        <v>18</v>
      </c>
      <c r="AJ20" s="20">
        <v>115</v>
      </c>
      <c r="AK20" s="16">
        <v>0.37</v>
      </c>
      <c r="AL20" s="14">
        <v>0.4954034489800479</v>
      </c>
      <c r="AM20" s="21">
        <v>0.65217391304347838</v>
      </c>
      <c r="AN20" s="20">
        <v>65</v>
      </c>
      <c r="AO20" s="16">
        <v>0.36</v>
      </c>
      <c r="AP20" s="14">
        <v>0.64602067391655016</v>
      </c>
      <c r="AQ20" s="21">
        <v>1</v>
      </c>
      <c r="AR20" s="20">
        <v>80</v>
      </c>
      <c r="AS20" s="16">
        <v>0.4</v>
      </c>
      <c r="AT20" s="14">
        <v>0.54754096893623905</v>
      </c>
      <c r="AU20" s="21">
        <v>0</v>
      </c>
      <c r="AV20" s="19">
        <v>140</v>
      </c>
      <c r="AW20" s="22">
        <v>51.150000000000006</v>
      </c>
      <c r="AX20" s="22">
        <v>79.146602478079359</v>
      </c>
      <c r="AY20" s="21">
        <v>0.56533287484342398</v>
      </c>
    </row>
    <row r="21" spans="1:51" x14ac:dyDescent="0.4">
      <c r="A21" s="13">
        <v>100</v>
      </c>
      <c r="B21" s="14">
        <v>0.56999999999999995</v>
      </c>
      <c r="C21" s="14">
        <v>0.49621924134296136</v>
      </c>
      <c r="D21" s="14">
        <v>0</v>
      </c>
      <c r="E21" s="2">
        <v>95</v>
      </c>
      <c r="F21" s="14">
        <v>0.4</v>
      </c>
      <c r="G21" s="14">
        <v>0.64538585966374284</v>
      </c>
      <c r="H21" s="14">
        <v>0.78947368421052633</v>
      </c>
      <c r="I21" s="2">
        <v>75</v>
      </c>
      <c r="J21" s="14">
        <v>0.39</v>
      </c>
      <c r="K21" s="14">
        <v>0.62246981627401432</v>
      </c>
      <c r="L21" s="14">
        <v>1</v>
      </c>
      <c r="M21" s="15">
        <v>150</v>
      </c>
      <c r="N21" s="14">
        <v>59.25</v>
      </c>
      <c r="O21" s="14">
        <v>95.089175695331789</v>
      </c>
      <c r="P21" s="14">
        <f t="shared" si="0"/>
        <v>0.63392783796887864</v>
      </c>
      <c r="Q21" s="16">
        <v>19</v>
      </c>
      <c r="T21" s="16">
        <v>1.9E-2</v>
      </c>
      <c r="U21" s="16">
        <v>898.76</v>
      </c>
      <c r="V21" s="16">
        <v>0.367140522875817</v>
      </c>
      <c r="W21" s="16">
        <v>1373.343847642567</v>
      </c>
      <c r="X21" s="16">
        <v>0.56100647371019896</v>
      </c>
      <c r="Z21" s="16">
        <v>1.9E-2</v>
      </c>
      <c r="AA21" s="18">
        <v>1</v>
      </c>
      <c r="AB21" s="23">
        <v>0</v>
      </c>
      <c r="AC21" s="16" t="e">
        <v>#DIV/0!</v>
      </c>
      <c r="AD21" s="16">
        <v>0.73674200496052178</v>
      </c>
      <c r="AI21" s="19">
        <v>19</v>
      </c>
      <c r="AJ21" s="20">
        <v>100</v>
      </c>
      <c r="AK21" s="16">
        <v>0.56999999999999995</v>
      </c>
      <c r="AL21" s="14">
        <v>0.49621924134296136</v>
      </c>
      <c r="AM21" s="21">
        <v>0</v>
      </c>
      <c r="AN21" s="20">
        <v>95</v>
      </c>
      <c r="AO21" s="16">
        <v>0.4</v>
      </c>
      <c r="AP21" s="14">
        <v>0.64538585966374284</v>
      </c>
      <c r="AQ21" s="21">
        <v>0.78947368421052633</v>
      </c>
      <c r="AR21" s="20">
        <v>75</v>
      </c>
      <c r="AS21" s="16">
        <v>0.39</v>
      </c>
      <c r="AT21" s="14">
        <v>0.62246981627401432</v>
      </c>
      <c r="AU21" s="21">
        <v>1</v>
      </c>
      <c r="AV21" s="19">
        <v>150</v>
      </c>
      <c r="AW21" s="22">
        <v>59.25</v>
      </c>
      <c r="AX21" s="22">
        <v>95.089175695331789</v>
      </c>
      <c r="AY21" s="21">
        <v>0.63392783796887864</v>
      </c>
    </row>
    <row r="22" spans="1:51" x14ac:dyDescent="0.4">
      <c r="A22" s="13">
        <v>90</v>
      </c>
      <c r="B22" s="14">
        <v>0.35</v>
      </c>
      <c r="C22" s="14">
        <v>0.42164971336080803</v>
      </c>
      <c r="D22" s="14">
        <v>1</v>
      </c>
      <c r="E22" s="2">
        <v>65</v>
      </c>
      <c r="F22" s="14">
        <v>0.37</v>
      </c>
      <c r="G22" s="14">
        <v>0.52761200826755439</v>
      </c>
      <c r="H22" s="14">
        <v>1</v>
      </c>
      <c r="I22" s="2">
        <v>70</v>
      </c>
      <c r="J22" s="14">
        <v>0.42</v>
      </c>
      <c r="K22" s="14">
        <v>0.59054182666800137</v>
      </c>
      <c r="L22" s="14">
        <v>0.18571428571428594</v>
      </c>
      <c r="M22" s="15">
        <v>168</v>
      </c>
      <c r="N22" s="14">
        <v>61.010000000000005</v>
      </c>
      <c r="O22" s="14">
        <v>79.920298486547779</v>
      </c>
      <c r="P22" s="14">
        <f t="shared" si="0"/>
        <v>0.47571606241992725</v>
      </c>
      <c r="Q22" s="16">
        <v>20</v>
      </c>
      <c r="T22" s="16">
        <v>0.02</v>
      </c>
      <c r="U22" s="16">
        <v>898.76</v>
      </c>
      <c r="V22" s="16">
        <v>0.367140522875817</v>
      </c>
      <c r="W22" s="16">
        <v>1373.343847642567</v>
      </c>
      <c r="X22" s="16">
        <v>0.56100647371019896</v>
      </c>
      <c r="Z22" s="16">
        <v>0.02</v>
      </c>
      <c r="AA22" s="18">
        <v>1</v>
      </c>
      <c r="AB22" s="23">
        <v>0</v>
      </c>
      <c r="AC22" s="16" t="e">
        <v>#DIV/0!</v>
      </c>
      <c r="AD22" s="16">
        <v>0.7475074624530772</v>
      </c>
      <c r="AI22" s="19">
        <v>20</v>
      </c>
      <c r="AJ22" s="20">
        <v>90</v>
      </c>
      <c r="AK22" s="16">
        <v>0.35</v>
      </c>
      <c r="AL22" s="14">
        <v>0.42164971336080803</v>
      </c>
      <c r="AM22" s="21">
        <v>1</v>
      </c>
      <c r="AN22" s="20">
        <v>65</v>
      </c>
      <c r="AO22" s="16">
        <v>0.37</v>
      </c>
      <c r="AP22" s="14">
        <v>0.52761200826755439</v>
      </c>
      <c r="AQ22" s="21">
        <v>1</v>
      </c>
      <c r="AR22" s="20">
        <v>70</v>
      </c>
      <c r="AS22" s="16">
        <v>0.42</v>
      </c>
      <c r="AT22" s="14">
        <v>0.59054182666800137</v>
      </c>
      <c r="AU22" s="21">
        <v>0.18571428571428594</v>
      </c>
      <c r="AV22" s="19">
        <v>168</v>
      </c>
      <c r="AW22" s="22">
        <v>61.010000000000005</v>
      </c>
      <c r="AX22" s="22">
        <v>79.920298486547779</v>
      </c>
      <c r="AY22" s="21">
        <v>0.47571606241992725</v>
      </c>
    </row>
    <row r="23" spans="1:51" x14ac:dyDescent="0.4">
      <c r="A23" s="13">
        <v>105</v>
      </c>
      <c r="B23" s="14">
        <v>0.5</v>
      </c>
      <c r="C23" s="14">
        <v>0.23375130773149622</v>
      </c>
      <c r="D23" s="14">
        <v>8.5714285714285743E-2</v>
      </c>
      <c r="E23" s="2">
        <v>95</v>
      </c>
      <c r="F23" s="14">
        <v>0.51</v>
      </c>
      <c r="G23" s="14">
        <v>0.61109487038037313</v>
      </c>
      <c r="H23" s="14">
        <v>0</v>
      </c>
      <c r="I23" s="2">
        <v>80</v>
      </c>
      <c r="J23" s="14">
        <v>0.38</v>
      </c>
      <c r="K23" s="14">
        <v>0.93174572240020426</v>
      </c>
      <c r="L23" s="14">
        <v>1</v>
      </c>
      <c r="M23" s="15">
        <v>89</v>
      </c>
      <c r="N23" s="14">
        <v>34.9</v>
      </c>
      <c r="O23" s="14">
        <v>76.643419561599814</v>
      </c>
      <c r="P23" s="14">
        <f t="shared" si="0"/>
        <v>0.86116201754606536</v>
      </c>
      <c r="Q23" s="16">
        <v>21</v>
      </c>
      <c r="T23" s="16">
        <v>2.1000000000000001E-2</v>
      </c>
      <c r="U23" s="16">
        <v>898.76</v>
      </c>
      <c r="V23" s="16">
        <v>0.367140522875817</v>
      </c>
      <c r="W23" s="16">
        <v>1373.343847642567</v>
      </c>
      <c r="X23" s="16">
        <v>0.56100647371019896</v>
      </c>
      <c r="Z23" s="16">
        <v>2.1000000000000001E-2</v>
      </c>
      <c r="AA23" s="18">
        <v>1</v>
      </c>
      <c r="AB23" s="23">
        <v>0</v>
      </c>
      <c r="AC23" s="16" t="e">
        <v>#DIV/0!</v>
      </c>
      <c r="AD23" s="16">
        <v>0.75803634777692697</v>
      </c>
      <c r="AI23" s="19">
        <v>21</v>
      </c>
      <c r="AJ23" s="20">
        <v>105</v>
      </c>
      <c r="AK23" s="16">
        <v>0.5</v>
      </c>
      <c r="AL23" s="14">
        <v>0.23375130773149622</v>
      </c>
      <c r="AM23" s="21">
        <v>8.5714285714285743E-2</v>
      </c>
      <c r="AN23" s="20">
        <v>95</v>
      </c>
      <c r="AO23" s="16">
        <v>0.51</v>
      </c>
      <c r="AP23" s="14">
        <v>0.61109487038037313</v>
      </c>
      <c r="AQ23" s="21">
        <v>0</v>
      </c>
      <c r="AR23" s="20">
        <v>80</v>
      </c>
      <c r="AS23" s="16">
        <v>0.38</v>
      </c>
      <c r="AT23" s="14">
        <v>0.93174572240020426</v>
      </c>
      <c r="AU23" s="21">
        <v>1</v>
      </c>
      <c r="AV23" s="19">
        <v>89</v>
      </c>
      <c r="AW23" s="22">
        <v>34.9</v>
      </c>
      <c r="AX23" s="22">
        <v>76.643419561599814</v>
      </c>
      <c r="AY23" s="21">
        <v>0.86116201754606536</v>
      </c>
    </row>
    <row r="24" spans="1:51" x14ac:dyDescent="0.4">
      <c r="A24" s="13">
        <v>110</v>
      </c>
      <c r="B24" s="14">
        <v>0.48</v>
      </c>
      <c r="C24" s="14">
        <v>0.42622386513288385</v>
      </c>
      <c r="D24" s="14">
        <v>0</v>
      </c>
      <c r="E24" s="2">
        <v>85</v>
      </c>
      <c r="F24" s="14">
        <v>0.39</v>
      </c>
      <c r="G24" s="14">
        <v>0.5976120980790961</v>
      </c>
      <c r="H24" s="14">
        <v>5.8823529411764719E-2</v>
      </c>
      <c r="I24" s="2">
        <v>60</v>
      </c>
      <c r="J24" s="14">
        <v>0.35</v>
      </c>
      <c r="K24" s="14">
        <v>0.63513981185331059</v>
      </c>
      <c r="L24" s="14">
        <v>1</v>
      </c>
      <c r="M24" s="15">
        <v>65</v>
      </c>
      <c r="N24" s="14">
        <v>22.95</v>
      </c>
      <c r="O24" s="14">
        <v>41.096449201594119</v>
      </c>
      <c r="P24" s="14">
        <f t="shared" si="0"/>
        <v>0.63225306463990949</v>
      </c>
      <c r="Q24" s="16">
        <v>22</v>
      </c>
      <c r="T24" s="16">
        <v>2.1999999999999999E-2</v>
      </c>
      <c r="U24" s="16">
        <v>898.76</v>
      </c>
      <c r="V24" s="16">
        <v>0.367140522875817</v>
      </c>
      <c r="W24" s="16">
        <v>1373.343847642567</v>
      </c>
      <c r="X24" s="16">
        <v>0.56100647371019896</v>
      </c>
      <c r="Z24" s="16">
        <v>2.1999999999999999E-2</v>
      </c>
      <c r="AA24" s="18">
        <v>1</v>
      </c>
      <c r="AB24" s="23">
        <v>0</v>
      </c>
      <c r="AC24" s="16" t="e">
        <v>#DIV/0!</v>
      </c>
      <c r="AD24" s="16">
        <v>0.76832242536520179</v>
      </c>
      <c r="AI24" s="19">
        <v>22</v>
      </c>
      <c r="AJ24" s="20">
        <v>110</v>
      </c>
      <c r="AK24" s="16">
        <v>0.48</v>
      </c>
      <c r="AL24" s="14">
        <v>0.42622386513288385</v>
      </c>
      <c r="AM24" s="21">
        <v>0</v>
      </c>
      <c r="AN24" s="20">
        <v>85</v>
      </c>
      <c r="AO24" s="16">
        <v>0.39</v>
      </c>
      <c r="AP24" s="14">
        <v>0.5976120980790961</v>
      </c>
      <c r="AQ24" s="21">
        <v>5.8823529411764719E-2</v>
      </c>
      <c r="AR24" s="20">
        <v>60</v>
      </c>
      <c r="AS24" s="16">
        <v>0.35</v>
      </c>
      <c r="AT24" s="14">
        <v>0.63513981185331059</v>
      </c>
      <c r="AU24" s="21">
        <v>1</v>
      </c>
      <c r="AV24" s="19">
        <v>65</v>
      </c>
      <c r="AW24" s="22">
        <v>22.95</v>
      </c>
      <c r="AX24" s="22">
        <v>41.096449201594119</v>
      </c>
      <c r="AY24" s="21">
        <v>0.63225306463990949</v>
      </c>
    </row>
    <row r="25" spans="1:51" x14ac:dyDescent="0.4">
      <c r="A25" s="24">
        <v>90</v>
      </c>
      <c r="B25" s="25">
        <v>0.37</v>
      </c>
      <c r="C25" s="25">
        <v>0.51752352891647291</v>
      </c>
      <c r="D25" s="25">
        <v>7.7777777777777724E-2</v>
      </c>
      <c r="E25" s="26">
        <v>75</v>
      </c>
      <c r="F25" s="25">
        <v>0.37</v>
      </c>
      <c r="G25" s="25">
        <v>0.67687072875287257</v>
      </c>
      <c r="H25" s="25">
        <v>0</v>
      </c>
      <c r="I25" s="26">
        <v>60</v>
      </c>
      <c r="J25" s="25">
        <v>0.36</v>
      </c>
      <c r="K25" s="25">
        <v>0.77150767837039846</v>
      </c>
      <c r="L25" s="25">
        <v>1</v>
      </c>
      <c r="M25" s="27">
        <v>67</v>
      </c>
      <c r="N25" s="14">
        <v>24.189999999999998</v>
      </c>
      <c r="O25" s="14">
        <v>49.913125404639217</v>
      </c>
      <c r="P25" s="14">
        <f t="shared" si="0"/>
        <v>0.74497202096476445</v>
      </c>
      <c r="Q25" s="16">
        <v>23</v>
      </c>
      <c r="T25" s="16">
        <v>2.3E-2</v>
      </c>
      <c r="U25" s="16">
        <v>898.76</v>
      </c>
      <c r="V25" s="16">
        <v>0.367140522875817</v>
      </c>
      <c r="W25" s="16">
        <v>1373.343847642567</v>
      </c>
      <c r="X25" s="16">
        <v>0.56100647371019896</v>
      </c>
      <c r="Z25" s="16">
        <v>2.3E-2</v>
      </c>
      <c r="AA25" s="18">
        <v>1</v>
      </c>
      <c r="AB25" s="23">
        <v>0</v>
      </c>
      <c r="AC25" s="16" t="e">
        <v>#DIV/0!</v>
      </c>
      <c r="AD25" s="16">
        <v>0.77836013645574542</v>
      </c>
      <c r="AI25" s="28">
        <v>23</v>
      </c>
      <c r="AJ25" s="29">
        <v>90</v>
      </c>
      <c r="AK25" s="30">
        <v>0.37</v>
      </c>
      <c r="AL25" s="25">
        <v>0.51752352891647291</v>
      </c>
      <c r="AM25" s="31">
        <v>7.7777777777777724E-2</v>
      </c>
      <c r="AN25" s="29">
        <v>75</v>
      </c>
      <c r="AO25" s="30">
        <v>0.37</v>
      </c>
      <c r="AP25" s="25">
        <v>0.67687072875287257</v>
      </c>
      <c r="AQ25" s="31">
        <v>0</v>
      </c>
      <c r="AR25" s="29">
        <v>60</v>
      </c>
      <c r="AS25" s="30">
        <v>0.36</v>
      </c>
      <c r="AT25" s="25">
        <v>0.77150767837039846</v>
      </c>
      <c r="AU25" s="31">
        <v>1</v>
      </c>
      <c r="AV25" s="28">
        <v>67</v>
      </c>
      <c r="AW25" s="32">
        <v>24.189999999999998</v>
      </c>
      <c r="AX25" s="32">
        <v>49.913125404639217</v>
      </c>
      <c r="AY25" s="31">
        <v>0.74497202096476445</v>
      </c>
    </row>
    <row r="26" spans="1:51" x14ac:dyDescent="0.4">
      <c r="M26" s="33">
        <f>SUM(M2:M25)</f>
        <v>2448</v>
      </c>
      <c r="N26" s="14">
        <f>SUM(N2:N25)</f>
        <v>898.89127505177294</v>
      </c>
      <c r="O26" s="2">
        <f>SUM(O2:O25)</f>
        <v>1379.6676216112915</v>
      </c>
      <c r="Q26" s="16"/>
      <c r="T26" s="16">
        <v>2.4E-2</v>
      </c>
      <c r="U26" s="16">
        <v>898.76</v>
      </c>
      <c r="V26" s="16">
        <v>0.367140522875817</v>
      </c>
      <c r="W26" s="16">
        <v>1373.343847642567</v>
      </c>
      <c r="X26" s="16">
        <v>0.56100647371019896</v>
      </c>
      <c r="Z26" s="16">
        <v>2.4E-2</v>
      </c>
      <c r="AA26" s="18">
        <v>1</v>
      </c>
      <c r="AB26" s="23">
        <v>0</v>
      </c>
      <c r="AC26" s="16" t="e">
        <v>#DIV/0!</v>
      </c>
      <c r="AD26" s="16">
        <v>0.78814460141660336</v>
      </c>
      <c r="AI26" s="19"/>
      <c r="AW26" s="22">
        <f>SUM(AW2:AW25)</f>
        <v>898.89127505177294</v>
      </c>
      <c r="AX26" s="34">
        <f>SUM(AX2:AX25)</f>
        <v>1379.6676216112915</v>
      </c>
    </row>
    <row r="27" spans="1:51" x14ac:dyDescent="0.4">
      <c r="Q27" s="16"/>
      <c r="T27" s="16">
        <v>2.5000000000000001E-2</v>
      </c>
      <c r="U27" s="16">
        <v>898.76</v>
      </c>
      <c r="V27" s="16">
        <v>0.367140522875817</v>
      </c>
      <c r="W27" s="16">
        <v>1373.343847642567</v>
      </c>
      <c r="X27" s="16">
        <v>0.56100647371019896</v>
      </c>
      <c r="Z27" s="16">
        <v>2.5000000000000001E-2</v>
      </c>
      <c r="AA27" s="18">
        <v>1</v>
      </c>
      <c r="AB27" s="23">
        <v>0</v>
      </c>
      <c r="AC27" s="16" t="e">
        <v>#DIV/0!</v>
      </c>
      <c r="AD27" s="16">
        <v>0.79767161903635697</v>
      </c>
      <c r="AI27" s="19"/>
    </row>
    <row r="28" spans="1:51" x14ac:dyDescent="0.4">
      <c r="T28" s="16">
        <v>2.6000000000000002E-2</v>
      </c>
      <c r="U28" s="16">
        <v>898.76</v>
      </c>
      <c r="V28" s="16">
        <v>0.367140522875817</v>
      </c>
      <c r="W28" s="16">
        <v>1373.343847642567</v>
      </c>
      <c r="X28" s="16">
        <v>0.56100647371019896</v>
      </c>
      <c r="Z28" s="16">
        <v>2.6000000000000002E-2</v>
      </c>
      <c r="AA28" s="18">
        <v>1</v>
      </c>
      <c r="AB28" s="23">
        <v>0</v>
      </c>
      <c r="AC28" s="16" t="e">
        <v>#DIV/0!</v>
      </c>
      <c r="AD28" s="16">
        <v>0.8069376628580931</v>
      </c>
    </row>
    <row r="29" spans="1:51" x14ac:dyDescent="0.4">
      <c r="T29" s="16">
        <v>2.7E-2</v>
      </c>
      <c r="U29" s="16">
        <v>898.76</v>
      </c>
      <c r="V29" s="16">
        <v>0.367140522875817</v>
      </c>
      <c r="W29" s="16">
        <v>1373.343847642567</v>
      </c>
      <c r="X29" s="16">
        <v>0.56100647371019896</v>
      </c>
      <c r="Z29" s="16">
        <v>2.7E-2</v>
      </c>
      <c r="AA29" s="18">
        <v>1</v>
      </c>
      <c r="AB29" s="23">
        <v>0</v>
      </c>
      <c r="AC29" s="16" t="e">
        <v>#DIV/0!</v>
      </c>
      <c r="AD29" s="16">
        <v>0.81593987465324047</v>
      </c>
    </row>
    <row r="30" spans="1:51" x14ac:dyDescent="0.4">
      <c r="T30" s="16">
        <v>2.8000000000000001E-2</v>
      </c>
      <c r="U30" s="16">
        <v>898.76</v>
      </c>
      <c r="V30" s="16">
        <v>0.367140522875817</v>
      </c>
      <c r="W30" s="16">
        <v>1373.343847642567</v>
      </c>
      <c r="X30" s="16">
        <v>0.56100647371019896</v>
      </c>
      <c r="Z30" s="16">
        <v>2.8000000000000001E-2</v>
      </c>
      <c r="AA30" s="18">
        <v>1</v>
      </c>
      <c r="AB30" s="23">
        <v>0</v>
      </c>
      <c r="AC30" s="16" t="e">
        <v>#DIV/0!</v>
      </c>
      <c r="AD30" s="16">
        <v>0.82467605514777054</v>
      </c>
    </row>
    <row r="31" spans="1:51" x14ac:dyDescent="0.4">
      <c r="T31" s="16">
        <v>2.9000000000000001E-2</v>
      </c>
      <c r="U31" s="16">
        <v>898.76</v>
      </c>
      <c r="V31" s="16">
        <v>0.367140522875817</v>
      </c>
      <c r="W31" s="16">
        <v>1373.343847642567</v>
      </c>
      <c r="X31" s="16">
        <v>0.56100647371019896</v>
      </c>
      <c r="Z31" s="16">
        <v>2.9000000000000001E-2</v>
      </c>
      <c r="AA31" s="18">
        <v>1</v>
      </c>
      <c r="AB31" s="23">
        <v>0</v>
      </c>
      <c r="AC31" s="16" t="e">
        <v>#DIV/0!</v>
      </c>
      <c r="AD31" s="16">
        <v>0.83314465212821709</v>
      </c>
    </row>
    <row r="32" spans="1:51" x14ac:dyDescent="0.4">
      <c r="T32" s="16">
        <v>0.03</v>
      </c>
      <c r="U32" s="16">
        <v>898.76</v>
      </c>
      <c r="V32" s="16">
        <v>0.367140522875817</v>
      </c>
      <c r="W32" s="16">
        <v>1373.343847642567</v>
      </c>
      <c r="X32" s="16">
        <v>0.56100647371019896</v>
      </c>
      <c r="Z32" s="16">
        <v>0.03</v>
      </c>
      <c r="AA32" s="18">
        <v>1</v>
      </c>
      <c r="AB32" s="23">
        <v>0</v>
      </c>
      <c r="AC32" s="16" t="e">
        <v>#DIV/0!</v>
      </c>
      <c r="AD32" s="16">
        <v>0.84134474606854304</v>
      </c>
    </row>
    <row r="33" spans="20:30" x14ac:dyDescent="0.4">
      <c r="T33" s="16">
        <v>3.1E-2</v>
      </c>
      <c r="U33" s="16">
        <v>898.76</v>
      </c>
      <c r="V33" s="16">
        <v>0.367140522875817</v>
      </c>
      <c r="W33" s="16">
        <v>1373.343847642567</v>
      </c>
      <c r="X33" s="16">
        <v>0.56100647371019896</v>
      </c>
      <c r="Z33" s="16">
        <v>3.1E-2</v>
      </c>
      <c r="AA33" s="18">
        <v>1</v>
      </c>
      <c r="AB33" s="23">
        <v>0</v>
      </c>
      <c r="AC33" s="16" t="e">
        <v>#DIV/0!</v>
      </c>
      <c r="AD33" s="16">
        <v>0.84927603343097546</v>
      </c>
    </row>
    <row r="34" spans="20:30" x14ac:dyDescent="0.4">
      <c r="T34" s="16">
        <v>3.2000000000000001E-2</v>
      </c>
      <c r="U34" s="16">
        <v>898.76</v>
      </c>
      <c r="V34" s="16">
        <v>0.367140522875817</v>
      </c>
      <c r="W34" s="16">
        <v>1373.343847642567</v>
      </c>
      <c r="X34" s="16">
        <v>0.56100647371019896</v>
      </c>
      <c r="Z34" s="16">
        <v>3.2000000000000001E-2</v>
      </c>
      <c r="AA34" s="18">
        <v>1</v>
      </c>
      <c r="AB34" s="23">
        <v>0</v>
      </c>
      <c r="AC34" s="16" t="e">
        <v>#DIV/0!</v>
      </c>
      <c r="AD34" s="16">
        <v>0.85693880780449094</v>
      </c>
    </row>
    <row r="35" spans="20:30" x14ac:dyDescent="0.4">
      <c r="T35" s="16">
        <v>3.3000000000000002E-2</v>
      </c>
      <c r="U35" s="16">
        <v>898.76</v>
      </c>
      <c r="V35" s="16">
        <v>0.367140522875817</v>
      </c>
      <c r="W35" s="16">
        <v>1373.343847642567</v>
      </c>
      <c r="X35" s="16">
        <v>0.56100647371019896</v>
      </c>
      <c r="Z35" s="16">
        <v>3.3000000000000002E-2</v>
      </c>
      <c r="AA35" s="18">
        <v>1</v>
      </c>
      <c r="AB35" s="23">
        <v>0</v>
      </c>
      <c r="AC35" s="16" t="e">
        <v>#DIV/0!</v>
      </c>
      <c r="AD35" s="16">
        <v>0.86433393905361733</v>
      </c>
    </row>
    <row r="36" spans="20:30" x14ac:dyDescent="0.4">
      <c r="T36" s="16">
        <v>3.4000000000000002E-2</v>
      </c>
      <c r="U36" s="16">
        <v>898.76</v>
      </c>
      <c r="V36" s="16">
        <v>0.367140522875817</v>
      </c>
      <c r="W36" s="16">
        <v>1373.343847642567</v>
      </c>
      <c r="X36" s="16">
        <v>0.56100647371019896</v>
      </c>
      <c r="Z36" s="16">
        <v>3.4000000000000002E-2</v>
      </c>
      <c r="AA36" s="18">
        <v>1</v>
      </c>
      <c r="AB36" s="23">
        <v>0</v>
      </c>
      <c r="AC36" s="16" t="e">
        <v>#DIV/0!</v>
      </c>
      <c r="AD36" s="16">
        <v>0.87146285065758511</v>
      </c>
    </row>
    <row r="37" spans="20:30" x14ac:dyDescent="0.4">
      <c r="T37" s="16">
        <v>3.5000000000000003E-2</v>
      </c>
      <c r="U37" s="16">
        <v>898.76</v>
      </c>
      <c r="V37" s="16">
        <v>0.367140522875817</v>
      </c>
      <c r="W37" s="16">
        <v>1373.343847642567</v>
      </c>
      <c r="X37" s="16">
        <v>0.56100647371019896</v>
      </c>
      <c r="Z37" s="16">
        <v>3.5000000000000003E-2</v>
      </c>
      <c r="AA37" s="18">
        <v>1</v>
      </c>
      <c r="AB37" s="23">
        <v>0</v>
      </c>
      <c r="AC37" s="16" t="e">
        <v>#DIV/0!</v>
      </c>
      <c r="AD37" s="16">
        <v>0.87832749542561872</v>
      </c>
    </row>
    <row r="38" spans="20:30" x14ac:dyDescent="0.4">
      <c r="T38" s="16">
        <v>3.6000000000000004E-2</v>
      </c>
      <c r="U38" s="16">
        <v>898.76</v>
      </c>
      <c r="V38" s="16">
        <v>0.367140522875817</v>
      </c>
      <c r="W38" s="16">
        <v>1373.343847642567</v>
      </c>
      <c r="X38" s="16">
        <v>0.56100647371019896</v>
      </c>
      <c r="Z38" s="16">
        <v>3.6000000000000004E-2</v>
      </c>
      <c r="AA38" s="18">
        <v>1</v>
      </c>
      <c r="AB38" s="23">
        <v>0</v>
      </c>
      <c r="AC38" s="16" t="e">
        <v>#DIV/0!</v>
      </c>
      <c r="AD38" s="16">
        <v>0.88493032977829178</v>
      </c>
    </row>
    <row r="39" spans="20:30" x14ac:dyDescent="0.4">
      <c r="T39" s="16">
        <v>3.6999999999999998E-2</v>
      </c>
      <c r="U39" s="16">
        <v>898.76</v>
      </c>
      <c r="V39" s="16">
        <v>0.367140522875817</v>
      </c>
      <c r="W39" s="16">
        <v>1373.343847642567</v>
      </c>
      <c r="X39" s="16">
        <v>0.56100647371019896</v>
      </c>
      <c r="Z39" s="16">
        <v>3.6999999999999998E-2</v>
      </c>
      <c r="AA39" s="18">
        <v>1</v>
      </c>
      <c r="AB39" s="23">
        <v>0</v>
      </c>
      <c r="AC39" s="16" t="e">
        <v>#DIV/0!</v>
      </c>
      <c r="AD39" s="16">
        <v>0.89127428678740883</v>
      </c>
    </row>
    <row r="40" spans="20:30" x14ac:dyDescent="0.4">
      <c r="T40" s="16">
        <v>3.7999999999999999E-2</v>
      </c>
      <c r="U40" s="16">
        <v>898.76</v>
      </c>
      <c r="V40" s="16">
        <v>0.367140522875817</v>
      </c>
      <c r="W40" s="16">
        <v>1373.343847642567</v>
      </c>
      <c r="X40" s="16">
        <v>0.56100647371019896</v>
      </c>
      <c r="Z40" s="16">
        <v>3.7999999999999999E-2</v>
      </c>
      <c r="AA40" s="18">
        <v>1</v>
      </c>
      <c r="AB40" s="23">
        <v>0</v>
      </c>
      <c r="AC40" s="16" t="e">
        <v>#DIV/0!</v>
      </c>
      <c r="AD40" s="16">
        <v>0.89736274816786421</v>
      </c>
    </row>
    <row r="41" spans="20:30" x14ac:dyDescent="0.4">
      <c r="T41" s="16">
        <v>3.9E-2</v>
      </c>
      <c r="U41" s="16">
        <v>898.76</v>
      </c>
      <c r="V41" s="16">
        <v>0.367140522875817</v>
      </c>
      <c r="W41" s="16">
        <v>1373.343847642567</v>
      </c>
      <c r="X41" s="16">
        <v>0.56100647371019896</v>
      </c>
      <c r="Z41" s="16">
        <v>3.9E-2</v>
      </c>
      <c r="AA41" s="18">
        <v>1</v>
      </c>
      <c r="AB41" s="23">
        <v>0</v>
      </c>
      <c r="AC41" s="16" t="e">
        <v>#DIV/0!</v>
      </c>
      <c r="AD41" s="16">
        <v>0.9031995154143897</v>
      </c>
    </row>
    <row r="42" spans="20:30" x14ac:dyDescent="0.4">
      <c r="T42" s="16">
        <v>0.04</v>
      </c>
      <c r="U42" s="16">
        <v>898.76</v>
      </c>
      <c r="V42" s="16">
        <v>0.367140522875817</v>
      </c>
      <c r="W42" s="16">
        <v>1373.343847642567</v>
      </c>
      <c r="X42" s="16">
        <v>0.56100647371019896</v>
      </c>
      <c r="Z42" s="16">
        <v>0.04</v>
      </c>
      <c r="AA42" s="18">
        <v>1</v>
      </c>
      <c r="AB42" s="23">
        <v>0</v>
      </c>
      <c r="AC42" s="16" t="e">
        <v>#DIV/0!</v>
      </c>
      <c r="AD42" s="16">
        <v>0.90878878027413224</v>
      </c>
    </row>
    <row r="43" spans="20:30" x14ac:dyDescent="0.4">
      <c r="T43" s="16">
        <v>4.1000000000000002E-2</v>
      </c>
      <c r="U43" s="16">
        <v>898.76</v>
      </c>
      <c r="V43" s="16">
        <v>0.367140522875817</v>
      </c>
      <c r="W43" s="16">
        <v>1373.343847642567</v>
      </c>
      <c r="X43" s="16">
        <v>0.56100647371019896</v>
      </c>
      <c r="Z43" s="16">
        <v>4.1000000000000002E-2</v>
      </c>
      <c r="AA43" s="18">
        <v>1</v>
      </c>
      <c r="AB43" s="23">
        <v>0</v>
      </c>
      <c r="AC43" s="16" t="e">
        <v>#DIV/0!</v>
      </c>
      <c r="AD43" s="16">
        <v>0.91413509474264409</v>
      </c>
    </row>
    <row r="44" spans="20:30" x14ac:dyDescent="0.4">
      <c r="T44" s="16">
        <v>4.2000000000000003E-2</v>
      </c>
      <c r="U44" s="16">
        <v>898.76</v>
      </c>
      <c r="V44" s="16">
        <v>0.367140522875817</v>
      </c>
      <c r="W44" s="16">
        <v>1373.343847642567</v>
      </c>
      <c r="X44" s="16">
        <v>0.56100647371019896</v>
      </c>
      <c r="Z44" s="16">
        <v>4.2000000000000003E-2</v>
      </c>
      <c r="AA44" s="18">
        <v>1</v>
      </c>
      <c r="AB44" s="23">
        <v>0</v>
      </c>
      <c r="AC44" s="16" t="e">
        <v>#DIV/0!</v>
      </c>
      <c r="AD44" s="16">
        <v>0.91924334076622893</v>
      </c>
    </row>
    <row r="45" spans="20:30" x14ac:dyDescent="0.4">
      <c r="T45" s="16">
        <v>4.3000000000000003E-2</v>
      </c>
      <c r="U45" s="16">
        <v>898.76</v>
      </c>
      <c r="V45" s="16">
        <v>0.367140522875817</v>
      </c>
      <c r="W45" s="16">
        <v>1373.343847642567</v>
      </c>
      <c r="X45" s="16">
        <v>0.56100647371019896</v>
      </c>
      <c r="Z45" s="16">
        <v>4.3000000000000003E-2</v>
      </c>
      <c r="AA45" s="18">
        <v>1</v>
      </c>
      <c r="AB45" s="23">
        <v>0</v>
      </c>
      <c r="AC45" s="16" t="e">
        <v>#DIV/0!</v>
      </c>
      <c r="AD45" s="16">
        <v>0.92411869982774197</v>
      </c>
    </row>
    <row r="46" spans="20:30" x14ac:dyDescent="0.4">
      <c r="T46" s="16">
        <v>4.3999999999999997E-2</v>
      </c>
      <c r="U46" s="16">
        <v>898.76</v>
      </c>
      <c r="V46" s="16">
        <v>0.367140522875817</v>
      </c>
      <c r="W46" s="16">
        <v>1373.343847642567</v>
      </c>
      <c r="X46" s="16">
        <v>0.56100647371019896</v>
      </c>
      <c r="Z46" s="16">
        <v>4.3999999999999997E-2</v>
      </c>
      <c r="AA46" s="18">
        <v>1</v>
      </c>
      <c r="AB46" s="23">
        <v>0</v>
      </c>
      <c r="AC46" s="16" t="e">
        <v>#DIV/0!</v>
      </c>
      <c r="AD46" s="16">
        <v>0.92876662258601395</v>
      </c>
    </row>
    <row r="47" spans="20:30" x14ac:dyDescent="0.4">
      <c r="T47" s="16">
        <v>4.4999999999999998E-2</v>
      </c>
      <c r="U47" s="16">
        <v>898.76</v>
      </c>
      <c r="V47" s="16">
        <v>0.367140522875817</v>
      </c>
      <c r="W47" s="16">
        <v>1373.343847642567</v>
      </c>
      <c r="X47" s="16">
        <v>0.56100647371019896</v>
      </c>
      <c r="Z47" s="16">
        <v>4.4999999999999998E-2</v>
      </c>
      <c r="AA47" s="18">
        <v>1</v>
      </c>
      <c r="AB47" s="23">
        <v>0</v>
      </c>
      <c r="AC47" s="16" t="e">
        <v>#DIV/0!</v>
      </c>
      <c r="AD47" s="16">
        <v>0.93319279873114191</v>
      </c>
    </row>
    <row r="48" spans="20:30" x14ac:dyDescent="0.4">
      <c r="T48" s="16">
        <v>4.5999999999999999E-2</v>
      </c>
      <c r="U48" s="16">
        <v>898.76</v>
      </c>
      <c r="V48" s="16">
        <v>0.367140522875817</v>
      </c>
      <c r="W48" s="16">
        <v>1373.343847642567</v>
      </c>
      <c r="X48" s="16">
        <v>0.56100647371019896</v>
      </c>
      <c r="Z48" s="16">
        <v>4.5999999999999999E-2</v>
      </c>
      <c r="AA48" s="18">
        <v>1</v>
      </c>
      <c r="AB48" s="23">
        <v>0</v>
      </c>
      <c r="AC48" s="16" t="e">
        <v>#DIV/0!</v>
      </c>
      <c r="AD48" s="16">
        <v>0.93740312720909325</v>
      </c>
    </row>
    <row r="49" spans="20:30" x14ac:dyDescent="0.4">
      <c r="T49" s="16">
        <v>4.7E-2</v>
      </c>
      <c r="U49" s="16">
        <v>898.76</v>
      </c>
      <c r="V49" s="16">
        <v>0.367140522875817</v>
      </c>
      <c r="W49" s="16">
        <v>1373.343847642567</v>
      </c>
      <c r="X49" s="16">
        <v>0.56100647371019896</v>
      </c>
      <c r="Z49" s="16">
        <v>4.7E-2</v>
      </c>
      <c r="AA49" s="18">
        <v>1</v>
      </c>
      <c r="AB49" s="23">
        <v>0</v>
      </c>
      <c r="AC49" s="16" t="e">
        <v>#DIV/0!</v>
      </c>
      <c r="AD49" s="16">
        <v>0.94140368695951426</v>
      </c>
    </row>
    <row r="50" spans="20:30" x14ac:dyDescent="0.4">
      <c r="T50" s="16">
        <v>4.8000000000000001E-2</v>
      </c>
      <c r="U50" s="16">
        <v>898.76</v>
      </c>
      <c r="V50" s="16">
        <v>0.367140522875817</v>
      </c>
      <c r="W50" s="16">
        <v>1373.343847642567</v>
      </c>
      <c r="X50" s="16">
        <v>0.56100647371019896</v>
      </c>
      <c r="Z50" s="16">
        <v>4.8000000000000001E-2</v>
      </c>
      <c r="AA50" s="18">
        <v>1</v>
      </c>
      <c r="AB50" s="23">
        <v>0</v>
      </c>
      <c r="AC50" s="16" t="e">
        <v>#DIV/0!</v>
      </c>
      <c r="AD50" s="16">
        <v>0.94520070830044201</v>
      </c>
    </row>
    <row r="51" spans="20:30" x14ac:dyDescent="0.4">
      <c r="T51" s="16">
        <v>4.9000000000000002E-2</v>
      </c>
      <c r="U51" s="16">
        <v>898.76</v>
      </c>
      <c r="V51" s="16">
        <v>0.367140522875817</v>
      </c>
      <c r="W51" s="16">
        <v>1373.343847642567</v>
      </c>
      <c r="X51" s="16">
        <v>0.56100647371019896</v>
      </c>
      <c r="Z51" s="16">
        <v>4.9000000000000002E-2</v>
      </c>
      <c r="AA51" s="18">
        <v>1</v>
      </c>
      <c r="AB51" s="23">
        <v>0</v>
      </c>
      <c r="AC51" s="16" t="e">
        <v>#DIV/0!</v>
      </c>
      <c r="AD51" s="16">
        <v>0.94880054508289224</v>
      </c>
    </row>
    <row r="52" spans="20:30" x14ac:dyDescent="0.4">
      <c r="T52" s="16">
        <v>0.05</v>
      </c>
      <c r="U52" s="16">
        <v>898.76</v>
      </c>
      <c r="V52" s="16">
        <v>0.367140522875817</v>
      </c>
      <c r="W52" s="16">
        <v>1373.343847642567</v>
      </c>
      <c r="X52" s="16">
        <v>0.56100647371019896</v>
      </c>
      <c r="Z52" s="16">
        <v>0.05</v>
      </c>
      <c r="AA52" s="18">
        <v>1</v>
      </c>
      <c r="AB52" s="23">
        <v>0</v>
      </c>
      <c r="AC52" s="16" t="e">
        <v>#DIV/0!</v>
      </c>
      <c r="AD52" s="16">
        <v>0.9522096477271853</v>
      </c>
    </row>
    <row r="53" spans="20:30" x14ac:dyDescent="0.4">
      <c r="T53" s="16">
        <v>5.1000000000000004E-2</v>
      </c>
      <c r="U53" s="16">
        <v>898.76</v>
      </c>
      <c r="V53" s="16">
        <v>0.367140522875817</v>
      </c>
      <c r="W53" s="16">
        <v>1373.343847642567</v>
      </c>
      <c r="X53" s="16">
        <v>0.56100647371019896</v>
      </c>
      <c r="Z53" s="16">
        <v>5.1000000000000004E-2</v>
      </c>
      <c r="AA53" s="18">
        <v>1</v>
      </c>
      <c r="AB53" s="23">
        <v>0</v>
      </c>
      <c r="AC53" s="16" t="e">
        <v>#DIV/0!</v>
      </c>
      <c r="AD53" s="16">
        <v>0.95543453724145699</v>
      </c>
    </row>
    <row r="54" spans="20:30" x14ac:dyDescent="0.4">
      <c r="T54" s="16">
        <v>5.2000000000000005E-2</v>
      </c>
      <c r="U54" s="16">
        <v>898.76</v>
      </c>
      <c r="V54" s="16">
        <v>0.367140522875817</v>
      </c>
      <c r="W54" s="16">
        <v>1373.343847642567</v>
      </c>
      <c r="X54" s="16">
        <v>0.56100647371019896</v>
      </c>
      <c r="Z54" s="16">
        <v>5.2000000000000005E-2</v>
      </c>
      <c r="AA54" s="18">
        <v>1</v>
      </c>
      <c r="AB54" s="23">
        <v>0</v>
      </c>
      <c r="AC54" s="16" t="e">
        <v>#DIV/0!</v>
      </c>
      <c r="AD54" s="16">
        <v>0.95848178031122089</v>
      </c>
    </row>
    <row r="55" spans="20:30" x14ac:dyDescent="0.4">
      <c r="T55" s="16">
        <v>5.2999999999999999E-2</v>
      </c>
      <c r="U55" s="16">
        <v>898.76</v>
      </c>
      <c r="V55" s="16">
        <v>0.367140522875817</v>
      </c>
      <c r="W55" s="16">
        <v>1373.343847642567</v>
      </c>
      <c r="X55" s="16">
        <v>0.56100647371019896</v>
      </c>
      <c r="Z55" s="16">
        <v>5.2999999999999999E-2</v>
      </c>
      <c r="AA55" s="18">
        <v>1</v>
      </c>
      <c r="AB55" s="23">
        <v>0</v>
      </c>
      <c r="AC55" s="16" t="e">
        <v>#DIV/0!</v>
      </c>
      <c r="AD55" s="16">
        <v>0.96135796553720509</v>
      </c>
    </row>
    <row r="56" spans="20:30" x14ac:dyDescent="0.4">
      <c r="T56" s="16">
        <v>5.3999999999999999E-2</v>
      </c>
      <c r="U56" s="16">
        <v>898.76</v>
      </c>
      <c r="V56" s="16">
        <v>0.367140522875817</v>
      </c>
      <c r="W56" s="16">
        <v>1373.343847642567</v>
      </c>
      <c r="X56" s="16">
        <v>0.56100647371019896</v>
      </c>
      <c r="Z56" s="16">
        <v>5.3999999999999999E-2</v>
      </c>
      <c r="AA56" s="18">
        <v>1</v>
      </c>
      <c r="AB56" s="23">
        <v>0</v>
      </c>
      <c r="AC56" s="16" t="e">
        <v>#DIV/0!</v>
      </c>
      <c r="AD56" s="16">
        <v>0.96406968088707423</v>
      </c>
    </row>
    <row r="57" spans="20:30" x14ac:dyDescent="0.4">
      <c r="T57" s="16">
        <v>5.5E-2</v>
      </c>
      <c r="U57" s="16">
        <v>898.76</v>
      </c>
      <c r="V57" s="16">
        <v>0.367140522875817</v>
      </c>
      <c r="W57" s="16">
        <v>1373.343847642567</v>
      </c>
      <c r="X57" s="16">
        <v>0.56100647371019896</v>
      </c>
      <c r="Z57" s="16">
        <v>5.5E-2</v>
      </c>
      <c r="AA57" s="18">
        <v>1</v>
      </c>
      <c r="AB57" s="23">
        <v>0</v>
      </c>
      <c r="AC57" s="16" t="e">
        <v>#DIV/0!</v>
      </c>
      <c r="AD57" s="16">
        <v>0.96662349241518275</v>
      </c>
    </row>
    <row r="58" spans="20:30" x14ac:dyDescent="0.4">
      <c r="T58" s="16">
        <v>5.6000000000000001E-2</v>
      </c>
      <c r="U58" s="16">
        <v>898.76</v>
      </c>
      <c r="V58" s="16">
        <v>0.367140522875817</v>
      </c>
      <c r="W58" s="16">
        <v>1373.343847642567</v>
      </c>
      <c r="X58" s="16">
        <v>0.56100647371019896</v>
      </c>
      <c r="Z58" s="16">
        <v>5.6000000000000001E-2</v>
      </c>
      <c r="AA58" s="18">
        <v>1</v>
      </c>
      <c r="AB58" s="23">
        <v>0</v>
      </c>
      <c r="AC58" s="16" t="e">
        <v>#DIV/0!</v>
      </c>
      <c r="AD58" s="16">
        <v>0.9690259242932594</v>
      </c>
    </row>
    <row r="59" spans="20:30" x14ac:dyDescent="0.4">
      <c r="T59" s="16">
        <v>5.7000000000000002E-2</v>
      </c>
      <c r="U59" s="16">
        <v>898.76</v>
      </c>
      <c r="V59" s="16">
        <v>0.367140522875817</v>
      </c>
      <c r="W59" s="16">
        <v>1373.343847642567</v>
      </c>
      <c r="X59" s="16">
        <v>0.56100647371019896</v>
      </c>
      <c r="Z59" s="16">
        <v>5.7000000000000002E-2</v>
      </c>
      <c r="AA59" s="18">
        <v>1</v>
      </c>
      <c r="AB59" s="23">
        <v>0</v>
      </c>
      <c r="AC59" s="16" t="e">
        <v>#DIV/0!</v>
      </c>
      <c r="AD59" s="16">
        <v>0.97128344018399826</v>
      </c>
    </row>
    <row r="60" spans="20:30" x14ac:dyDescent="0.4">
      <c r="T60" s="16">
        <v>5.8000000000000003E-2</v>
      </c>
      <c r="U60" s="16">
        <v>898.76</v>
      </c>
      <c r="V60" s="16">
        <v>0.367140522875817</v>
      </c>
      <c r="W60" s="16">
        <v>1373.343847642567</v>
      </c>
      <c r="X60" s="16">
        <v>0.56100647371019896</v>
      </c>
      <c r="Z60" s="16">
        <v>5.8000000000000003E-2</v>
      </c>
      <c r="AA60" s="18">
        <v>1</v>
      </c>
      <c r="AB60" s="23">
        <v>0</v>
      </c>
      <c r="AC60" s="16" t="e">
        <v>#DIV/0!</v>
      </c>
      <c r="AD60" s="16">
        <v>0.9734024259789904</v>
      </c>
    </row>
    <row r="61" spans="20:30" x14ac:dyDescent="0.4">
      <c r="T61" s="16">
        <v>5.9000000000000004E-2</v>
      </c>
      <c r="U61" s="16">
        <v>898.76</v>
      </c>
      <c r="V61" s="16">
        <v>0.367140522875817</v>
      </c>
      <c r="W61" s="16">
        <v>1373.343847642567</v>
      </c>
      <c r="X61" s="16">
        <v>0.56100647371019896</v>
      </c>
      <c r="Z61" s="16">
        <v>5.9000000000000004E-2</v>
      </c>
      <c r="AA61" s="18">
        <v>1</v>
      </c>
      <c r="AB61" s="23">
        <v>0</v>
      </c>
      <c r="AC61" s="16" t="e">
        <v>#DIV/0!</v>
      </c>
      <c r="AD61" s="16">
        <v>0.97538917391234992</v>
      </c>
    </row>
    <row r="62" spans="20:30" x14ac:dyDescent="0.4">
      <c r="T62" s="16">
        <v>0.06</v>
      </c>
      <c r="U62" s="16">
        <v>898.76</v>
      </c>
      <c r="V62" s="16">
        <v>0.367140522875817</v>
      </c>
      <c r="W62" s="16">
        <v>1373.343847642567</v>
      </c>
      <c r="X62" s="16">
        <v>0.56100647371019896</v>
      </c>
      <c r="Z62" s="16">
        <v>0.06</v>
      </c>
      <c r="AA62" s="18">
        <v>1</v>
      </c>
      <c r="AB62" s="23">
        <v>0</v>
      </c>
      <c r="AC62" s="16" t="e">
        <v>#DIV/0!</v>
      </c>
      <c r="AD62" s="16">
        <v>0.97724986805182079</v>
      </c>
    </row>
    <row r="63" spans="20:30" x14ac:dyDescent="0.4">
      <c r="T63" s="16">
        <v>6.0999999999999999E-2</v>
      </c>
      <c r="U63" s="16">
        <v>898.76</v>
      </c>
      <c r="V63" s="16">
        <v>0.367140522875817</v>
      </c>
      <c r="W63" s="16">
        <v>1373.343847642567</v>
      </c>
      <c r="X63" s="16">
        <v>0.56100647371019896</v>
      </c>
      <c r="Z63" s="16">
        <v>6.0999999999999999E-2</v>
      </c>
      <c r="AA63" s="18">
        <v>1</v>
      </c>
      <c r="AB63" s="23">
        <v>0</v>
      </c>
      <c r="AC63" s="16" t="e">
        <v>#DIV/0!</v>
      </c>
      <c r="AD63" s="16">
        <v>0.9789905711601572</v>
      </c>
    </row>
    <row r="64" spans="20:30" x14ac:dyDescent="0.4">
      <c r="T64" s="16">
        <v>6.2E-2</v>
      </c>
      <c r="U64" s="16">
        <v>898.76</v>
      </c>
      <c r="V64" s="16">
        <v>0.367140522875817</v>
      </c>
      <c r="W64" s="16">
        <v>1373.343847642567</v>
      </c>
      <c r="X64" s="16">
        <v>0.56100647371019896</v>
      </c>
      <c r="Z64" s="16">
        <v>6.2E-2</v>
      </c>
      <c r="AA64" s="18">
        <v>1</v>
      </c>
      <c r="AB64" s="23">
        <v>0</v>
      </c>
      <c r="AC64" s="16" t="e">
        <v>#DIV/0!</v>
      </c>
      <c r="AD64" s="16">
        <v>0.98061721291118142</v>
      </c>
    </row>
    <row r="65" spans="20:30" x14ac:dyDescent="0.4">
      <c r="T65" s="16">
        <v>6.3E-2</v>
      </c>
      <c r="U65" s="16">
        <v>898.76</v>
      </c>
      <c r="V65" s="16">
        <v>0.367140522875817</v>
      </c>
      <c r="W65" s="16">
        <v>1373.343847642567</v>
      </c>
      <c r="X65" s="16">
        <v>0.56100647371019896</v>
      </c>
      <c r="Z65" s="16">
        <v>6.3E-2</v>
      </c>
      <c r="AA65" s="18">
        <v>1</v>
      </c>
      <c r="AB65" s="23">
        <v>0</v>
      </c>
      <c r="AC65" s="16" t="e">
        <v>#DIV/0!</v>
      </c>
      <c r="AD65" s="16">
        <v>0.98213557943718344</v>
      </c>
    </row>
    <row r="66" spans="20:30" x14ac:dyDescent="0.4">
      <c r="T66" s="16">
        <v>6.4000000000000001E-2</v>
      </c>
      <c r="U66" s="16">
        <v>898.76</v>
      </c>
      <c r="V66" s="16">
        <v>0.367140522875817</v>
      </c>
      <c r="W66" s="16">
        <v>1373.343847642567</v>
      </c>
      <c r="X66" s="16">
        <v>0.56100647371019896</v>
      </c>
      <c r="Z66" s="16">
        <v>6.4000000000000001E-2</v>
      </c>
      <c r="AA66" s="18">
        <v>1</v>
      </c>
      <c r="AB66" s="23">
        <v>0</v>
      </c>
      <c r="AC66" s="16" t="e">
        <v>#DIV/0!</v>
      </c>
      <c r="AD66" s="16">
        <v>0.98355130417725467</v>
      </c>
    </row>
    <row r="67" spans="20:30" x14ac:dyDescent="0.4">
      <c r="T67" s="16">
        <v>6.5000000000000002E-2</v>
      </c>
      <c r="U67" s="16">
        <v>898.76</v>
      </c>
      <c r="V67" s="16">
        <v>0.367140522875817</v>
      </c>
      <c r="W67" s="16">
        <v>1373.343847642567</v>
      </c>
      <c r="X67" s="16">
        <v>0.56100647371019896</v>
      </c>
      <c r="Z67" s="16">
        <v>6.5000000000000002E-2</v>
      </c>
      <c r="AA67" s="18">
        <v>1</v>
      </c>
      <c r="AB67" s="23">
        <v>0</v>
      </c>
      <c r="AC67" s="16" t="e">
        <v>#DIV/0!</v>
      </c>
      <c r="AD67" s="16">
        <v>0.98486985998976417</v>
      </c>
    </row>
    <row r="68" spans="20:30" x14ac:dyDescent="0.4">
      <c r="T68" s="16">
        <v>6.6000000000000003E-2</v>
      </c>
      <c r="U68" s="16">
        <v>898.76</v>
      </c>
      <c r="V68" s="16">
        <v>0.367140522875817</v>
      </c>
      <c r="W68" s="16">
        <v>1373.343847642567</v>
      </c>
      <c r="X68" s="16">
        <v>0.56100647371019896</v>
      </c>
      <c r="Z68" s="16">
        <v>6.6000000000000003E-2</v>
      </c>
      <c r="AA68" s="18">
        <v>1</v>
      </c>
      <c r="AB68" s="23">
        <v>0</v>
      </c>
      <c r="AC68" s="16" t="e">
        <v>#DIV/0!</v>
      </c>
      <c r="AD68" s="16">
        <v>0.98609655248650141</v>
      </c>
    </row>
    <row r="69" spans="20:30" x14ac:dyDescent="0.4">
      <c r="T69" s="16">
        <v>6.7000000000000004E-2</v>
      </c>
      <c r="U69" s="16">
        <v>898.76</v>
      </c>
      <c r="V69" s="16">
        <v>0.367140522875817</v>
      </c>
      <c r="W69" s="16">
        <v>1373.343847642567</v>
      </c>
      <c r="X69" s="16">
        <v>0.56100647371019896</v>
      </c>
      <c r="Z69" s="16">
        <v>6.7000000000000004E-2</v>
      </c>
      <c r="AA69" s="18">
        <v>1</v>
      </c>
      <c r="AB69" s="23">
        <v>0</v>
      </c>
      <c r="AC69" s="16" t="e">
        <v>#DIV/0!</v>
      </c>
      <c r="AD69" s="16">
        <v>0.98723651454102168</v>
      </c>
    </row>
    <row r="70" spans="20:30" x14ac:dyDescent="0.4">
      <c r="T70" s="16">
        <v>6.8000000000000005E-2</v>
      </c>
      <c r="U70" s="16">
        <v>898.76</v>
      </c>
      <c r="V70" s="16">
        <v>0.367140522875817</v>
      </c>
      <c r="W70" s="16">
        <v>1373.343847642567</v>
      </c>
      <c r="X70" s="16">
        <v>0.56100647371019896</v>
      </c>
      <c r="Z70" s="16">
        <v>6.8000000000000005E-2</v>
      </c>
      <c r="AA70" s="18">
        <v>1</v>
      </c>
      <c r="AB70" s="23">
        <v>0</v>
      </c>
      <c r="AC70" s="16" t="e">
        <v>#DIV/0!</v>
      </c>
      <c r="AD70" s="16">
        <v>0.98829470191944169</v>
      </c>
    </row>
    <row r="71" spans="20:30" x14ac:dyDescent="0.4">
      <c r="T71" s="16">
        <v>6.9000000000000006E-2</v>
      </c>
      <c r="U71" s="16">
        <v>898.76</v>
      </c>
      <c r="V71" s="16">
        <v>0.367140522875817</v>
      </c>
      <c r="W71" s="16">
        <v>1373.343847642567</v>
      </c>
      <c r="X71" s="16">
        <v>0.56100647371019896</v>
      </c>
      <c r="Z71" s="16">
        <v>6.9000000000000006E-2</v>
      </c>
      <c r="AA71" s="18">
        <v>1</v>
      </c>
      <c r="AB71" s="23">
        <v>0</v>
      </c>
      <c r="AC71" s="16" t="e">
        <v>#DIV/0!</v>
      </c>
      <c r="AD71" s="16">
        <v>0.98927588997832416</v>
      </c>
    </row>
    <row r="72" spans="20:30" x14ac:dyDescent="0.4">
      <c r="T72" s="16">
        <v>7.0000000000000007E-2</v>
      </c>
      <c r="U72" s="16">
        <v>898.76</v>
      </c>
      <c r="V72" s="16">
        <v>0.367140522875817</v>
      </c>
      <c r="W72" s="16">
        <v>1373.343847642567</v>
      </c>
      <c r="X72" s="16">
        <v>0.56100647371019896</v>
      </c>
      <c r="Z72" s="16">
        <v>7.0000000000000007E-2</v>
      </c>
      <c r="AA72" s="18">
        <v>1</v>
      </c>
      <c r="AB72" s="23">
        <v>0</v>
      </c>
      <c r="AC72" s="16" t="e">
        <v>#DIV/0!</v>
      </c>
      <c r="AD72" s="16">
        <v>0.99018467137135469</v>
      </c>
    </row>
    <row r="73" spans="20:30" x14ac:dyDescent="0.4">
      <c r="T73" s="16">
        <v>7.1000000000000008E-2</v>
      </c>
      <c r="U73" s="16">
        <v>898.76</v>
      </c>
      <c r="V73" s="16">
        <v>0.367140522875817</v>
      </c>
      <c r="W73" s="16">
        <v>1373.343847642567</v>
      </c>
      <c r="X73" s="16">
        <v>0.56100647371019896</v>
      </c>
      <c r="Z73" s="16">
        <v>7.1000000000000008E-2</v>
      </c>
      <c r="AA73" s="18">
        <v>1</v>
      </c>
      <c r="AB73" s="23">
        <v>0</v>
      </c>
      <c r="AC73" s="16" t="e">
        <v>#DIV/0!</v>
      </c>
      <c r="AD73" s="16">
        <v>0.99102545470421699</v>
      </c>
    </row>
    <row r="74" spans="20:30" x14ac:dyDescent="0.4">
      <c r="T74" s="16">
        <v>7.2000000000000008E-2</v>
      </c>
      <c r="U74" s="16">
        <v>898.76</v>
      </c>
      <c r="V74" s="16">
        <v>0.367140522875817</v>
      </c>
      <c r="W74" s="16">
        <v>1373.343847642567</v>
      </c>
      <c r="X74" s="16">
        <v>0.56100647371019896</v>
      </c>
      <c r="Z74" s="16">
        <v>7.2000000000000008E-2</v>
      </c>
      <c r="AA74" s="18">
        <v>1</v>
      </c>
      <c r="AB74" s="23">
        <v>0</v>
      </c>
      <c r="AC74" s="16" t="e">
        <v>#DIV/0!</v>
      </c>
      <c r="AD74" s="16">
        <v>0.99180246407540384</v>
      </c>
    </row>
    <row r="75" spans="20:30" x14ac:dyDescent="0.4">
      <c r="T75" s="16">
        <v>7.2999999999999995E-2</v>
      </c>
      <c r="U75" s="16">
        <v>898.76</v>
      </c>
      <c r="V75" s="16">
        <v>0.367140522875817</v>
      </c>
      <c r="W75" s="16">
        <v>1373.343847642567</v>
      </c>
      <c r="X75" s="16">
        <v>0.56100647371019896</v>
      </c>
      <c r="Z75" s="16">
        <v>7.2999999999999995E-2</v>
      </c>
      <c r="AA75" s="18">
        <v>1</v>
      </c>
      <c r="AB75" s="23">
        <v>0</v>
      </c>
      <c r="AC75" s="16" t="e">
        <v>#DIV/0!</v>
      </c>
      <c r="AD75" s="16">
        <v>0.99251973943960992</v>
      </c>
    </row>
    <row r="76" spans="20:30" x14ac:dyDescent="0.4">
      <c r="T76" s="16">
        <v>7.3999999999999996E-2</v>
      </c>
      <c r="U76" s="16">
        <v>898.76</v>
      </c>
      <c r="V76" s="16">
        <v>0.367140522875817</v>
      </c>
      <c r="W76" s="16">
        <v>1373.343847642567</v>
      </c>
      <c r="X76" s="16">
        <v>0.56100647371019896</v>
      </c>
      <c r="Z76" s="16">
        <v>7.3999999999999996E-2</v>
      </c>
      <c r="AA76" s="18">
        <v>1</v>
      </c>
      <c r="AB76" s="23">
        <v>0</v>
      </c>
      <c r="AC76" s="16" t="e">
        <v>#DIV/0!</v>
      </c>
      <c r="AD76" s="16">
        <v>0.99318113772982386</v>
      </c>
    </row>
    <row r="77" spans="20:30" x14ac:dyDescent="0.4">
      <c r="T77" s="16">
        <v>7.4999999999999997E-2</v>
      </c>
      <c r="U77" s="16">
        <v>898.76</v>
      </c>
      <c r="V77" s="16">
        <v>0.367140522875817</v>
      </c>
      <c r="W77" s="16">
        <v>1373.343847642567</v>
      </c>
      <c r="X77" s="16">
        <v>0.56100647371019896</v>
      </c>
      <c r="Z77" s="16">
        <v>7.4999999999999997E-2</v>
      </c>
      <c r="AA77" s="18">
        <v>1</v>
      </c>
      <c r="AB77" s="23">
        <v>0</v>
      </c>
      <c r="AC77" s="16" t="e">
        <v>#DIV/0!</v>
      </c>
      <c r="AD77" s="16">
        <v>0.99379033467422384</v>
      </c>
    </row>
    <row r="78" spans="20:30" x14ac:dyDescent="0.4">
      <c r="T78" s="16">
        <v>7.5999999999999998E-2</v>
      </c>
      <c r="U78" s="16">
        <v>898.76</v>
      </c>
      <c r="V78" s="16">
        <v>0.367140522875817</v>
      </c>
      <c r="W78" s="16">
        <v>1373.343847642567</v>
      </c>
      <c r="X78" s="16">
        <v>0.56100647371019896</v>
      </c>
      <c r="Z78" s="16">
        <v>7.5999999999999998E-2</v>
      </c>
      <c r="AA78" s="18">
        <v>1</v>
      </c>
      <c r="AB78" s="23">
        <v>0</v>
      </c>
      <c r="AC78" s="16" t="e">
        <v>#DIV/0!</v>
      </c>
      <c r="AD78" s="16">
        <v>0.99435082724443935</v>
      </c>
    </row>
    <row r="79" spans="20:30" x14ac:dyDescent="0.4">
      <c r="T79" s="16">
        <v>7.6999999999999999E-2</v>
      </c>
      <c r="U79" s="16">
        <v>898.76</v>
      </c>
      <c r="V79" s="16">
        <v>0.367140522875817</v>
      </c>
      <c r="W79" s="16">
        <v>1373.343847642567</v>
      </c>
      <c r="X79" s="16">
        <v>0.56100647371019896</v>
      </c>
      <c r="Z79" s="16">
        <v>7.6999999999999999E-2</v>
      </c>
      <c r="AA79" s="18">
        <v>1</v>
      </c>
      <c r="AB79" s="23">
        <v>0</v>
      </c>
      <c r="AC79" s="16" t="e">
        <v>#DIV/0!</v>
      </c>
      <c r="AD79" s="16">
        <v>0.99486593667264966</v>
      </c>
    </row>
    <row r="80" spans="20:30" x14ac:dyDescent="0.4">
      <c r="T80" s="16">
        <v>7.8E-2</v>
      </c>
      <c r="U80" s="16">
        <v>898.76</v>
      </c>
      <c r="V80" s="16">
        <v>0.367140522875817</v>
      </c>
      <c r="W80" s="16">
        <v>1373.343847642567</v>
      </c>
      <c r="X80" s="16">
        <v>0.56100647371019896</v>
      </c>
      <c r="Z80" s="16">
        <v>7.8E-2</v>
      </c>
      <c r="AA80" s="18">
        <v>1</v>
      </c>
      <c r="AB80" s="23">
        <v>0</v>
      </c>
      <c r="AC80" s="16" t="e">
        <v>#DIV/0!</v>
      </c>
      <c r="AD80" s="16">
        <v>0.99533881197628127</v>
      </c>
    </row>
    <row r="81" spans="20:30" x14ac:dyDescent="0.4">
      <c r="T81" s="16">
        <v>7.9000000000000001E-2</v>
      </c>
      <c r="U81" s="16">
        <v>898.76</v>
      </c>
      <c r="V81" s="16">
        <v>0.367140522875817</v>
      </c>
      <c r="W81" s="16">
        <v>1373.343847642567</v>
      </c>
      <c r="X81" s="16">
        <v>0.56100647371019896</v>
      </c>
      <c r="Z81" s="16">
        <v>7.9000000000000001E-2</v>
      </c>
      <c r="AA81" s="18">
        <v>1</v>
      </c>
      <c r="AB81" s="23">
        <v>0</v>
      </c>
      <c r="AC81" s="16" t="e">
        <v>#DIV/0!</v>
      </c>
      <c r="AD81" s="16">
        <v>0.99577243393071946</v>
      </c>
    </row>
    <row r="82" spans="20:30" x14ac:dyDescent="0.4">
      <c r="T82" s="16">
        <v>0.08</v>
      </c>
      <c r="U82" s="16">
        <v>898.76</v>
      </c>
      <c r="V82" s="16">
        <v>0.367140522875817</v>
      </c>
      <c r="W82" s="16">
        <v>1373.343847642567</v>
      </c>
      <c r="X82" s="16">
        <v>0.56100647371019896</v>
      </c>
      <c r="Z82" s="16">
        <v>0.08</v>
      </c>
      <c r="AA82" s="18">
        <v>1</v>
      </c>
      <c r="AB82" s="23">
        <v>0</v>
      </c>
      <c r="AC82" s="16" t="e">
        <v>#DIV/0!</v>
      </c>
      <c r="AD82" s="16">
        <v>0.99616961943241022</v>
      </c>
    </row>
    <row r="83" spans="20:30" x14ac:dyDescent="0.4">
      <c r="T83" s="16">
        <v>8.1000000000000003E-2</v>
      </c>
      <c r="U83" s="16">
        <v>898.76</v>
      </c>
      <c r="V83" s="16">
        <v>0.367140522875817</v>
      </c>
      <c r="W83" s="16">
        <v>1373.343847642567</v>
      </c>
      <c r="X83" s="16">
        <v>0.56100647371019896</v>
      </c>
      <c r="Z83" s="16">
        <v>8.1000000000000003E-2</v>
      </c>
      <c r="AA83" s="18">
        <v>1</v>
      </c>
      <c r="AB83" s="23">
        <v>0</v>
      </c>
      <c r="AC83" s="16" t="e">
        <v>#DIV/0!</v>
      </c>
      <c r="AD83" s="16">
        <v>0.99653302619695938</v>
      </c>
    </row>
    <row r="84" spans="20:30" x14ac:dyDescent="0.4">
      <c r="T84" s="16">
        <v>8.2000000000000003E-2</v>
      </c>
      <c r="U84" s="16">
        <v>898.76</v>
      </c>
      <c r="V84" s="16">
        <v>0.367140522875817</v>
      </c>
      <c r="W84" s="16">
        <v>1373.343847642567</v>
      </c>
      <c r="X84" s="16">
        <v>0.56100647371019896</v>
      </c>
      <c r="Z84" s="16">
        <v>8.2000000000000003E-2</v>
      </c>
      <c r="AA84" s="18">
        <v>1</v>
      </c>
      <c r="AB84" s="23">
        <v>0</v>
      </c>
      <c r="AC84" s="16" t="e">
        <v>#DIV/0!</v>
      </c>
      <c r="AD84" s="16">
        <v>0.99686515773929452</v>
      </c>
    </row>
    <row r="85" spans="20:30" x14ac:dyDescent="0.4">
      <c r="T85" s="16">
        <v>8.3000000000000004E-2</v>
      </c>
      <c r="U85" s="16">
        <v>898.76</v>
      </c>
      <c r="V85" s="16">
        <v>0.367140522875817</v>
      </c>
      <c r="W85" s="16">
        <v>1373.343847642567</v>
      </c>
      <c r="X85" s="16">
        <v>0.56100647371019896</v>
      </c>
      <c r="Z85" s="16">
        <v>8.3000000000000004E-2</v>
      </c>
      <c r="AA85" s="35">
        <v>1</v>
      </c>
      <c r="AB85" s="23">
        <v>0</v>
      </c>
      <c r="AC85" s="16" t="e">
        <v>#DIV/0!</v>
      </c>
      <c r="AD85" s="16">
        <v>0.99716836858560542</v>
      </c>
    </row>
    <row r="86" spans="20:30" x14ac:dyDescent="0.4">
      <c r="T86" s="16">
        <v>8.4000000000000005E-2</v>
      </c>
      <c r="U86" s="16">
        <v>898.76</v>
      </c>
      <c r="V86" s="16">
        <v>0.367140522875817</v>
      </c>
      <c r="W86" s="16">
        <v>1373.343847642567</v>
      </c>
      <c r="X86" s="16">
        <v>0.56100647371019896</v>
      </c>
      <c r="Z86" s="16">
        <v>8.4000000000000005E-2</v>
      </c>
      <c r="AA86" s="35">
        <v>1</v>
      </c>
      <c r="AB86" s="23">
        <v>0</v>
      </c>
      <c r="AC86" s="16" t="e">
        <v>#DIV/0!</v>
      </c>
      <c r="AD86" s="16">
        <v>0.99744486966957202</v>
      </c>
    </row>
    <row r="87" spans="20:30" x14ac:dyDescent="0.4">
      <c r="T87" s="16">
        <v>8.5000000000000006E-2</v>
      </c>
      <c r="U87" s="16">
        <v>898.76</v>
      </c>
      <c r="V87" s="16">
        <v>0.367140522875817</v>
      </c>
      <c r="W87" s="16">
        <v>1373.343847642567</v>
      </c>
      <c r="X87" s="16">
        <v>0.56100647371019896</v>
      </c>
      <c r="Z87" s="16">
        <v>8.5000000000000006E-2</v>
      </c>
      <c r="AA87" s="35">
        <v>1</v>
      </c>
      <c r="AB87" s="23">
        <v>0</v>
      </c>
      <c r="AC87" s="16" t="e">
        <v>#DIV/0!</v>
      </c>
      <c r="AD87" s="16">
        <v>0.99769673386830415</v>
      </c>
    </row>
    <row r="88" spans="20:30" x14ac:dyDescent="0.4">
      <c r="T88" s="16">
        <v>8.6000000000000007E-2</v>
      </c>
      <c r="U88" s="16">
        <v>898.76</v>
      </c>
      <c r="V88" s="16">
        <v>0.367140522875817</v>
      </c>
      <c r="W88" s="16">
        <v>1373.343847642567</v>
      </c>
      <c r="X88" s="16">
        <v>0.56100647371019896</v>
      </c>
      <c r="Z88" s="16">
        <v>8.6000000000000007E-2</v>
      </c>
      <c r="AA88" s="35">
        <v>1</v>
      </c>
      <c r="AB88" s="23">
        <v>0</v>
      </c>
      <c r="AC88" s="16" t="e">
        <v>#DIV/0!</v>
      </c>
      <c r="AD88" s="16">
        <v>0.99792590163640593</v>
      </c>
    </row>
    <row r="89" spans="20:30" x14ac:dyDescent="0.4">
      <c r="T89" s="16">
        <v>8.7000000000000008E-2</v>
      </c>
      <c r="U89" s="16">
        <v>898.76</v>
      </c>
      <c r="V89" s="16">
        <v>0.367140522875817</v>
      </c>
      <c r="W89" s="16">
        <v>1373.343847642567</v>
      </c>
      <c r="X89" s="16">
        <v>0.56100647371019896</v>
      </c>
      <c r="Z89" s="16">
        <v>8.7000000000000008E-2</v>
      </c>
      <c r="AA89" s="35">
        <v>1</v>
      </c>
      <c r="AB89" s="23">
        <v>0</v>
      </c>
      <c r="AC89" s="16" t="e">
        <v>#DIV/0!</v>
      </c>
      <c r="AD89" s="16">
        <v>0.99813418669961596</v>
      </c>
    </row>
    <row r="90" spans="20:30" x14ac:dyDescent="0.4">
      <c r="T90" s="16">
        <v>8.7999999999999995E-2</v>
      </c>
      <c r="U90" s="16">
        <v>898.76</v>
      </c>
      <c r="V90" s="16">
        <v>0.367140522875817</v>
      </c>
      <c r="W90" s="16">
        <v>1373.343847642567</v>
      </c>
      <c r="X90" s="16">
        <v>0.56100647371019896</v>
      </c>
      <c r="Z90" s="16">
        <v>8.7999999999999995E-2</v>
      </c>
      <c r="AA90" s="35">
        <v>1</v>
      </c>
      <c r="AB90" s="23">
        <v>0</v>
      </c>
      <c r="AC90" s="16" t="e">
        <v>#DIV/0!</v>
      </c>
      <c r="AD90" s="16">
        <v>0.99832328177252683</v>
      </c>
    </row>
    <row r="91" spans="20:30" x14ac:dyDescent="0.4">
      <c r="T91" s="16">
        <v>8.8999999999999996E-2</v>
      </c>
      <c r="U91" s="16">
        <v>898.76</v>
      </c>
      <c r="V91" s="16">
        <v>0.367140522875817</v>
      </c>
      <c r="W91" s="16">
        <v>1373.343847642567</v>
      </c>
      <c r="X91" s="16">
        <v>0.56100647371019896</v>
      </c>
      <c r="Z91" s="16">
        <v>8.8999999999999996E-2</v>
      </c>
      <c r="AA91" s="35">
        <v>1</v>
      </c>
      <c r="AB91" s="23">
        <v>0</v>
      </c>
      <c r="AC91" s="16" t="e">
        <v>#DIV/0!</v>
      </c>
      <c r="AD91" s="16">
        <v>0.99849476426793382</v>
      </c>
    </row>
    <row r="92" spans="20:30" x14ac:dyDescent="0.4">
      <c r="T92" s="16">
        <v>0.09</v>
      </c>
      <c r="U92" s="16">
        <v>898.76</v>
      </c>
      <c r="V92" s="16">
        <v>0.367140522875817</v>
      </c>
      <c r="W92" s="16">
        <v>1373.343847642567</v>
      </c>
      <c r="X92" s="16">
        <v>0.56100647371019896</v>
      </c>
      <c r="Z92" s="16">
        <v>0.09</v>
      </c>
      <c r="AA92" s="35">
        <v>1</v>
      </c>
      <c r="AB92" s="23">
        <v>0</v>
      </c>
      <c r="AC92" s="16" t="e">
        <v>#DIV/0!</v>
      </c>
      <c r="AD92" s="16">
        <v>0.9986501019683699</v>
      </c>
    </row>
    <row r="93" spans="20:30" x14ac:dyDescent="0.4">
      <c r="T93" s="16">
        <v>9.0999999999999998E-2</v>
      </c>
      <c r="U93" s="16">
        <v>898.76</v>
      </c>
      <c r="V93" s="16">
        <v>0.367140522875817</v>
      </c>
      <c r="W93" s="16">
        <v>1373.343847642567</v>
      </c>
      <c r="X93" s="16">
        <v>0.56100647371019896</v>
      </c>
      <c r="Z93" s="16">
        <v>9.0999999999999998E-2</v>
      </c>
      <c r="AA93" s="35">
        <v>1</v>
      </c>
      <c r="AB93" s="23">
        <v>0</v>
      </c>
      <c r="AC93" s="16" t="e">
        <v>#DIV/0!</v>
      </c>
      <c r="AD93" s="16">
        <v>0.99879065863333572</v>
      </c>
    </row>
    <row r="94" spans="20:30" x14ac:dyDescent="0.4">
      <c r="T94" s="16">
        <v>9.1999999999999998E-2</v>
      </c>
      <c r="U94" s="16">
        <v>898.76</v>
      </c>
      <c r="V94" s="16">
        <v>0.367140522875817</v>
      </c>
      <c r="W94" s="16">
        <v>1373.343847642567</v>
      </c>
      <c r="X94" s="16">
        <v>0.56100647371019896</v>
      </c>
      <c r="Z94" s="16">
        <v>9.1999999999999998E-2</v>
      </c>
      <c r="AA94" s="35">
        <v>1</v>
      </c>
      <c r="AB94" s="23">
        <v>0</v>
      </c>
      <c r="AC94" s="16" t="e">
        <v>#DIV/0!</v>
      </c>
      <c r="AD94" s="16">
        <v>0.99891769951860676</v>
      </c>
    </row>
    <row r="95" spans="20:30" x14ac:dyDescent="0.4">
      <c r="T95" s="16">
        <v>9.2999999999999999E-2</v>
      </c>
      <c r="U95" s="16">
        <v>898.76</v>
      </c>
      <c r="V95" s="16">
        <v>0.367140522875817</v>
      </c>
      <c r="W95" s="16">
        <v>1373.343847642567</v>
      </c>
      <c r="X95" s="16">
        <v>0.56100647371019896</v>
      </c>
      <c r="Z95" s="16">
        <v>9.2999999999999999E-2</v>
      </c>
      <c r="AA95" s="35">
        <v>1</v>
      </c>
      <c r="AB95" s="23">
        <v>0</v>
      </c>
      <c r="AC95" s="16" t="e">
        <v>#DIV/0!</v>
      </c>
      <c r="AD95" s="16">
        <v>0.99903239678678168</v>
      </c>
    </row>
    <row r="96" spans="20:30" x14ac:dyDescent="0.4">
      <c r="T96" s="16">
        <v>9.4E-2</v>
      </c>
      <c r="U96" s="16">
        <v>898.76</v>
      </c>
      <c r="V96" s="16">
        <v>0.367140522875817</v>
      </c>
      <c r="W96" s="16">
        <v>1373.343847642567</v>
      </c>
      <c r="X96" s="16">
        <v>0.56100647371019896</v>
      </c>
      <c r="Z96" s="16">
        <v>9.4E-2</v>
      </c>
      <c r="AA96" s="35">
        <v>1</v>
      </c>
      <c r="AB96" s="23">
        <v>0</v>
      </c>
      <c r="AC96" s="16" t="e">
        <v>#DIV/0!</v>
      </c>
      <c r="AD96" s="16">
        <v>0.99913583479090196</v>
      </c>
    </row>
    <row r="97" spans="20:30" x14ac:dyDescent="0.4">
      <c r="T97" s="16">
        <v>9.5000000000000001E-2</v>
      </c>
      <c r="U97" s="16">
        <v>898.76</v>
      </c>
      <c r="V97" s="16">
        <v>0.367140522875817</v>
      </c>
      <c r="W97" s="16">
        <v>1373.343847642567</v>
      </c>
      <c r="X97" s="16">
        <v>0.56100647371019896</v>
      </c>
      <c r="Z97" s="16">
        <v>9.5000000000000001E-2</v>
      </c>
      <c r="AA97" s="35">
        <v>1</v>
      </c>
      <c r="AB97" s="23">
        <v>0</v>
      </c>
      <c r="AC97" s="16" t="e">
        <v>#DIV/0!</v>
      </c>
      <c r="AD97" s="16">
        <v>0.99922901521552998</v>
      </c>
    </row>
    <row r="98" spans="20:30" x14ac:dyDescent="0.4">
      <c r="T98" s="16">
        <v>9.6000000000000002E-2</v>
      </c>
      <c r="U98" s="16">
        <v>898.76</v>
      </c>
      <c r="V98" s="16">
        <v>0.367140522875817</v>
      </c>
      <c r="W98" s="16">
        <v>1373.343847642567</v>
      </c>
      <c r="X98" s="16">
        <v>0.56100647371019896</v>
      </c>
      <c r="Z98" s="16">
        <v>9.6000000000000002E-2</v>
      </c>
      <c r="AA98" s="35">
        <v>1</v>
      </c>
      <c r="AB98" s="23">
        <v>0</v>
      </c>
      <c r="AC98" s="16" t="e">
        <v>#DIV/0!</v>
      </c>
      <c r="AD98" s="16">
        <v>0.99931286206208414</v>
      </c>
    </row>
    <row r="99" spans="20:30" x14ac:dyDescent="0.4">
      <c r="T99" s="16">
        <v>9.7000000000000003E-2</v>
      </c>
      <c r="U99" s="16">
        <v>898.76</v>
      </c>
      <c r="V99" s="16">
        <v>0.367140522875817</v>
      </c>
      <c r="W99" s="16">
        <v>1373.343847642567</v>
      </c>
      <c r="X99" s="16">
        <v>0.56100647371019896</v>
      </c>
      <c r="Z99" s="16">
        <v>9.7000000000000003E-2</v>
      </c>
      <c r="AA99" s="35">
        <v>1</v>
      </c>
      <c r="AB99" s="23">
        <v>0</v>
      </c>
      <c r="AC99" s="16" t="e">
        <v>#DIV/0!</v>
      </c>
      <c r="AD99" s="16">
        <v>0.9993882264675138</v>
      </c>
    </row>
    <row r="100" spans="20:30" x14ac:dyDescent="0.4">
      <c r="T100" s="16">
        <v>9.8000000000000004E-2</v>
      </c>
      <c r="U100" s="16">
        <v>898.76</v>
      </c>
      <c r="V100" s="16">
        <v>0.367140522875817</v>
      </c>
      <c r="W100" s="16">
        <v>1373.343847642567</v>
      </c>
      <c r="X100" s="16">
        <v>0.56100647371019896</v>
      </c>
      <c r="Z100" s="16">
        <v>9.8000000000000004E-2</v>
      </c>
      <c r="AA100" s="35">
        <v>1</v>
      </c>
      <c r="AB100" s="23">
        <v>0</v>
      </c>
      <c r="AC100" s="16" t="e">
        <v>#DIV/0!</v>
      </c>
      <c r="AD100" s="16">
        <v>0.99945589134753288</v>
      </c>
    </row>
    <row r="101" spans="20:30" x14ac:dyDescent="0.4">
      <c r="T101" s="16">
        <v>9.9000000000000005E-2</v>
      </c>
      <c r="U101" s="16">
        <v>898.76</v>
      </c>
      <c r="V101" s="16">
        <v>0.367140522875817</v>
      </c>
      <c r="W101" s="16">
        <v>1373.343847642567</v>
      </c>
      <c r="X101" s="16">
        <v>0.56100647371019896</v>
      </c>
      <c r="Z101" s="16">
        <v>9.9000000000000005E-2</v>
      </c>
      <c r="AA101" s="35">
        <v>1</v>
      </c>
      <c r="AB101" s="23">
        <v>0</v>
      </c>
      <c r="AC101" s="16" t="e">
        <v>#DIV/0!</v>
      </c>
      <c r="AD101" s="16">
        <v>0.99951657585761622</v>
      </c>
    </row>
    <row r="102" spans="20:30" x14ac:dyDescent="0.4">
      <c r="T102" s="16">
        <v>0.1</v>
      </c>
      <c r="U102" s="16">
        <v>898.76</v>
      </c>
      <c r="V102" s="16">
        <v>0.367140522875817</v>
      </c>
      <c r="W102" s="16">
        <v>1373.343847642567</v>
      </c>
      <c r="X102" s="16">
        <v>0.56100647371019896</v>
      </c>
      <c r="Z102" s="16">
        <v>0.1</v>
      </c>
      <c r="AA102" s="35">
        <v>1</v>
      </c>
      <c r="AB102" s="23">
        <v>0</v>
      </c>
      <c r="AC102" s="16" t="e">
        <v>#DIV/0!</v>
      </c>
      <c r="AD102" s="16">
        <v>0.99957093966680322</v>
      </c>
    </row>
    <row r="103" spans="20:30" x14ac:dyDescent="0.4">
      <c r="T103" s="16">
        <v>0.10100000000000001</v>
      </c>
      <c r="U103" s="16">
        <v>898.76</v>
      </c>
      <c r="V103" s="16">
        <v>0.367140522875817</v>
      </c>
      <c r="W103" s="16">
        <v>1373.343847642567</v>
      </c>
      <c r="X103" s="16">
        <v>0.56100647371019896</v>
      </c>
      <c r="Z103" s="16">
        <v>0.10100000000000001</v>
      </c>
      <c r="AA103" s="35">
        <v>1</v>
      </c>
      <c r="AB103" s="23">
        <v>0</v>
      </c>
      <c r="AC103" s="16" t="e">
        <v>#DIV/0!</v>
      </c>
      <c r="AD103" s="16">
        <v>0.99961958704103882</v>
      </c>
    </row>
    <row r="104" spans="20:30" x14ac:dyDescent="0.4">
      <c r="T104" s="16">
        <v>0.10200000000000001</v>
      </c>
      <c r="U104" s="16">
        <v>898.76</v>
      </c>
      <c r="V104" s="16">
        <v>0.367140522875817</v>
      </c>
      <c r="W104" s="16">
        <v>1373.343847642567</v>
      </c>
      <c r="X104" s="16">
        <v>0.56100647371019896</v>
      </c>
      <c r="Z104" s="16">
        <v>0.10200000000000001</v>
      </c>
      <c r="AA104" s="35">
        <v>1</v>
      </c>
      <c r="AB104" s="23">
        <v>0</v>
      </c>
      <c r="AC104" s="16" t="e">
        <v>#DIV/0!</v>
      </c>
      <c r="AD104" s="16">
        <v>0.99966307073432314</v>
      </c>
    </row>
    <row r="105" spans="20:30" x14ac:dyDescent="0.4">
      <c r="T105" s="16">
        <v>0.10300000000000001</v>
      </c>
      <c r="U105" s="16">
        <v>898.76</v>
      </c>
      <c r="V105" s="16">
        <v>0.367140522875817</v>
      </c>
      <c r="W105" s="16">
        <v>1373.343847642567</v>
      </c>
      <c r="X105" s="16">
        <v>0.56100647371019896</v>
      </c>
      <c r="Z105" s="16">
        <v>0.10300000000000001</v>
      </c>
      <c r="AA105" s="35">
        <v>1</v>
      </c>
      <c r="AB105" s="23">
        <v>0</v>
      </c>
      <c r="AC105" s="16" t="e">
        <v>#DIV/0!</v>
      </c>
      <c r="AD105" s="16">
        <v>0.99970189568732992</v>
      </c>
    </row>
    <row r="106" spans="20:30" x14ac:dyDescent="0.4">
      <c r="T106" s="16">
        <v>0.10400000000000001</v>
      </c>
      <c r="U106" s="16">
        <v>898.76</v>
      </c>
      <c r="V106" s="16">
        <v>0.367140522875817</v>
      </c>
      <c r="W106" s="16">
        <v>1373.343847642567</v>
      </c>
      <c r="X106" s="16">
        <v>0.56100647371019896</v>
      </c>
      <c r="Z106" s="16">
        <v>0.10400000000000001</v>
      </c>
      <c r="AA106" s="35">
        <v>1</v>
      </c>
      <c r="AB106" s="23">
        <v>0</v>
      </c>
      <c r="AC106" s="16" t="e">
        <v>#DIV/0!</v>
      </c>
      <c r="AD106" s="16">
        <v>0.9997365225344047</v>
      </c>
    </row>
    <row r="107" spans="20:30" x14ac:dyDescent="0.4">
      <c r="T107" s="16">
        <v>0.105</v>
      </c>
      <c r="U107" s="16">
        <v>898.76</v>
      </c>
      <c r="V107" s="16">
        <v>0.367140522875817</v>
      </c>
      <c r="W107" s="16">
        <v>1373.343847642567</v>
      </c>
      <c r="X107" s="16">
        <v>0.56100647371019896</v>
      </c>
      <c r="Z107" s="16">
        <v>0.105</v>
      </c>
      <c r="AA107" s="35">
        <v>1</v>
      </c>
      <c r="AB107" s="23">
        <v>0</v>
      </c>
      <c r="AC107" s="16" t="e">
        <v>#DIV/0!</v>
      </c>
      <c r="AD107" s="16">
        <v>0.99976737092096446</v>
      </c>
    </row>
    <row r="108" spans="20:30" x14ac:dyDescent="0.4">
      <c r="T108" s="16">
        <v>0.106</v>
      </c>
      <c r="U108" s="16">
        <v>898.76</v>
      </c>
      <c r="V108" s="16">
        <v>0.367140522875817</v>
      </c>
      <c r="W108" s="16">
        <v>1373.343847642567</v>
      </c>
      <c r="X108" s="16">
        <v>0.56100647371019896</v>
      </c>
      <c r="Z108" s="16">
        <v>0.106</v>
      </c>
      <c r="AA108" s="35">
        <v>1</v>
      </c>
      <c r="AB108" s="23">
        <v>0</v>
      </c>
      <c r="AC108" s="16" t="e">
        <v>#DIV/0!</v>
      </c>
      <c r="AD108" s="16">
        <v>0.99979482263429487</v>
      </c>
    </row>
    <row r="109" spans="20:30" x14ac:dyDescent="0.4">
      <c r="T109" s="16">
        <v>0.107</v>
      </c>
      <c r="U109" s="16">
        <v>898.76</v>
      </c>
      <c r="V109" s="16">
        <v>0.367140522875817</v>
      </c>
      <c r="W109" s="16">
        <v>1373.343847642567</v>
      </c>
      <c r="X109" s="16">
        <v>0.56100647371019896</v>
      </c>
      <c r="Z109" s="16">
        <v>0.107</v>
      </c>
      <c r="AA109" s="35">
        <v>1</v>
      </c>
      <c r="AB109" s="23">
        <v>0</v>
      </c>
      <c r="AC109" s="16" t="e">
        <v>#DIV/0!</v>
      </c>
      <c r="AD109" s="16">
        <v>0.99981922455159444</v>
      </c>
    </row>
    <row r="110" spans="20:30" x14ac:dyDescent="0.4">
      <c r="T110" s="16">
        <v>0.108</v>
      </c>
      <c r="U110" s="16">
        <v>898.76</v>
      </c>
      <c r="V110" s="16">
        <v>0.367140522875817</v>
      </c>
      <c r="W110" s="16">
        <v>1373.343847642567</v>
      </c>
      <c r="X110" s="16">
        <v>0.56100647371019896</v>
      </c>
      <c r="Z110" s="16">
        <v>0.108</v>
      </c>
      <c r="AA110" s="35">
        <v>1</v>
      </c>
      <c r="AB110" s="23">
        <v>0</v>
      </c>
      <c r="AC110" s="16" t="e">
        <v>#DIV/0!</v>
      </c>
      <c r="AD110" s="16">
        <v>0.99984089140984245</v>
      </c>
    </row>
    <row r="111" spans="20:30" x14ac:dyDescent="0.4">
      <c r="T111" s="16">
        <v>0.109</v>
      </c>
      <c r="U111" s="16">
        <v>898.76</v>
      </c>
      <c r="V111" s="16">
        <v>0.367140522875817</v>
      </c>
      <c r="W111" s="16">
        <v>1373.343847642567</v>
      </c>
      <c r="X111" s="16">
        <v>0.56100647371019896</v>
      </c>
      <c r="Z111" s="16">
        <v>0.109</v>
      </c>
      <c r="AA111" s="35">
        <v>1</v>
      </c>
      <c r="AB111" s="23">
        <v>0</v>
      </c>
      <c r="AC111" s="16" t="e">
        <v>#DIV/0!</v>
      </c>
      <c r="AD111" s="16">
        <v>0.99986010840268391</v>
      </c>
    </row>
    <row r="112" spans="20:30" x14ac:dyDescent="0.4">
      <c r="T112" s="16">
        <v>0.11</v>
      </c>
      <c r="U112" s="16">
        <v>898.76</v>
      </c>
      <c r="V112" s="16">
        <v>0.367140522875817</v>
      </c>
      <c r="W112" s="16">
        <v>1373.343847642567</v>
      </c>
      <c r="X112" s="16">
        <v>0.56100647371019896</v>
      </c>
      <c r="Z112" s="16">
        <v>0.11</v>
      </c>
      <c r="AA112" s="35">
        <v>1</v>
      </c>
      <c r="AB112" s="23">
        <v>0</v>
      </c>
      <c r="AC112" s="16" t="e">
        <v>#DIV/0!</v>
      </c>
      <c r="AD112" s="16">
        <v>0.99987713361003483</v>
      </c>
    </row>
    <row r="113" spans="20:30" x14ac:dyDescent="0.4">
      <c r="T113" s="16">
        <v>0.111</v>
      </c>
      <c r="U113" s="16">
        <v>898.76</v>
      </c>
      <c r="V113" s="16">
        <v>0.367140522875817</v>
      </c>
      <c r="W113" s="16">
        <v>1373.343847642567</v>
      </c>
      <c r="X113" s="16">
        <v>0.56100647371019896</v>
      </c>
      <c r="Z113" s="16">
        <v>0.111</v>
      </c>
      <c r="AA113" s="35">
        <v>1</v>
      </c>
      <c r="AB113" s="23">
        <v>0</v>
      </c>
      <c r="AC113" s="16" t="e">
        <v>#DIV/0!</v>
      </c>
      <c r="AD113" s="16">
        <v>0.99989220026652259</v>
      </c>
    </row>
    <row r="114" spans="20:30" x14ac:dyDescent="0.4">
      <c r="T114" s="16">
        <v>0.112</v>
      </c>
      <c r="U114" s="16">
        <v>898.76</v>
      </c>
      <c r="V114" s="16">
        <v>0.367140522875817</v>
      </c>
      <c r="W114" s="16">
        <v>1373.343847642567</v>
      </c>
      <c r="X114" s="16">
        <v>0.56100647371019896</v>
      </c>
      <c r="Z114" s="16">
        <v>0.112</v>
      </c>
      <c r="AA114" s="35">
        <v>1</v>
      </c>
      <c r="AB114" s="23">
        <v>0</v>
      </c>
      <c r="AC114" s="16" t="e">
        <v>#DIV/0!</v>
      </c>
      <c r="AD114" s="16">
        <v>0.99990551887519563</v>
      </c>
    </row>
    <row r="115" spans="20:30" x14ac:dyDescent="0.4">
      <c r="T115" s="16">
        <v>0.113</v>
      </c>
      <c r="U115" s="16">
        <v>898.76</v>
      </c>
      <c r="V115" s="16">
        <v>0.367140522875817</v>
      </c>
      <c r="W115" s="16">
        <v>1373.343847642567</v>
      </c>
      <c r="X115" s="16">
        <v>0.56100647371019896</v>
      </c>
      <c r="Z115" s="16">
        <v>0.113</v>
      </c>
      <c r="AA115" s="35">
        <v>1</v>
      </c>
      <c r="AB115" s="23">
        <v>0</v>
      </c>
      <c r="AC115" s="16" t="e">
        <v>#DIV/0!</v>
      </c>
      <c r="AD115" s="16">
        <v>0.9999172791731743</v>
      </c>
    </row>
    <row r="116" spans="20:30" x14ac:dyDescent="0.4">
      <c r="T116" s="16">
        <v>0.114</v>
      </c>
      <c r="U116" s="16">
        <v>898.76</v>
      </c>
      <c r="V116" s="16">
        <v>0.367140522875817</v>
      </c>
      <c r="W116" s="16">
        <v>1373.343847642567</v>
      </c>
      <c r="X116" s="16">
        <v>0.56100647371019896</v>
      </c>
      <c r="Z116" s="16">
        <v>0.114</v>
      </c>
      <c r="AA116" s="35">
        <v>1</v>
      </c>
      <c r="AB116" s="23">
        <v>0</v>
      </c>
      <c r="AC116" s="16" t="e">
        <v>#DIV/0!</v>
      </c>
      <c r="AD116" s="16">
        <v>0.99992765195607491</v>
      </c>
    </row>
    <row r="117" spans="20:30" x14ac:dyDescent="0.4">
      <c r="T117" s="16">
        <v>0.115</v>
      </c>
      <c r="U117" s="16">
        <v>898.76</v>
      </c>
      <c r="V117" s="16">
        <v>0.367140522875817</v>
      </c>
      <c r="W117" s="16">
        <v>1373.343847642567</v>
      </c>
      <c r="X117" s="16">
        <v>0.56100647371019896</v>
      </c>
      <c r="Z117" s="16">
        <v>0.115</v>
      </c>
      <c r="AA117" s="35">
        <v>1</v>
      </c>
      <c r="AB117" s="23">
        <v>0</v>
      </c>
      <c r="AC117" s="16" t="e">
        <v>#DIV/0!</v>
      </c>
      <c r="AD117" s="16">
        <v>0.99993679076813158</v>
      </c>
    </row>
    <row r="118" spans="20:30" x14ac:dyDescent="0.4">
      <c r="T118" s="16">
        <v>0.11600000000000001</v>
      </c>
      <c r="U118" s="16">
        <v>898.76</v>
      </c>
      <c r="V118" s="16">
        <v>0.367140522875817</v>
      </c>
      <c r="W118" s="16">
        <v>1373.343847642567</v>
      </c>
      <c r="X118" s="16">
        <v>0.56100647371019896</v>
      </c>
      <c r="Z118" s="16">
        <v>0.11600000000000001</v>
      </c>
      <c r="AA118" s="35">
        <v>1</v>
      </c>
      <c r="AB118" s="23">
        <v>0</v>
      </c>
      <c r="AC118" s="16" t="e">
        <v>#DIV/0!</v>
      </c>
      <c r="AD118" s="16">
        <v>0.99994483346497276</v>
      </c>
    </row>
    <row r="119" spans="20:30" x14ac:dyDescent="0.4">
      <c r="T119" s="16">
        <v>0.11700000000000001</v>
      </c>
      <c r="U119" s="16">
        <v>898.76</v>
      </c>
      <c r="V119" s="16">
        <v>0.367140522875817</v>
      </c>
      <c r="W119" s="16">
        <v>1373.343847642567</v>
      </c>
      <c r="X119" s="16">
        <v>0.56100647371019896</v>
      </c>
      <c r="Z119" s="16">
        <v>0.11700000000000001</v>
      </c>
      <c r="AA119" s="35">
        <v>1</v>
      </c>
      <c r="AB119" s="23">
        <v>0</v>
      </c>
      <c r="AC119" s="16" t="e">
        <v>#DIV/0!</v>
      </c>
      <c r="AD119" s="16">
        <v>0.99995190365598241</v>
      </c>
    </row>
    <row r="120" spans="20:30" x14ac:dyDescent="0.4">
      <c r="T120" s="16">
        <v>0.11800000000000001</v>
      </c>
      <c r="U120" s="16">
        <v>898.76</v>
      </c>
      <c r="V120" s="16">
        <v>0.367140522875817</v>
      </c>
      <c r="W120" s="16">
        <v>1373.343847642567</v>
      </c>
      <c r="X120" s="16">
        <v>0.56100647371019896</v>
      </c>
      <c r="Z120" s="16">
        <v>0.11800000000000001</v>
      </c>
      <c r="AA120" s="35">
        <v>1</v>
      </c>
      <c r="AB120" s="23">
        <v>0</v>
      </c>
      <c r="AC120" s="16" t="e">
        <v>#DIV/0!</v>
      </c>
      <c r="AD120" s="16">
        <v>0.99995811203310991</v>
      </c>
    </row>
    <row r="121" spans="20:30" x14ac:dyDescent="0.4">
      <c r="T121" s="16">
        <v>0.11900000000000001</v>
      </c>
      <c r="U121" s="16">
        <v>898.76</v>
      </c>
      <c r="V121" s="16">
        <v>0.367140522875817</v>
      </c>
      <c r="W121" s="16">
        <v>1373.343847642567</v>
      </c>
      <c r="X121" s="16">
        <v>0.56100647371019896</v>
      </c>
      <c r="Z121" s="16">
        <v>0.11900000000000001</v>
      </c>
      <c r="AA121" s="35">
        <v>1</v>
      </c>
      <c r="AB121" s="23">
        <v>0</v>
      </c>
      <c r="AC121" s="16" t="e">
        <v>#DIV/0!</v>
      </c>
      <c r="AD121" s="16">
        <v>0.9999635575928747</v>
      </c>
    </row>
    <row r="122" spans="20:30" x14ac:dyDescent="0.4">
      <c r="T122" s="16">
        <v>0.12</v>
      </c>
      <c r="U122" s="16">
        <v>898.76</v>
      </c>
      <c r="V122" s="16">
        <v>0.367140522875817</v>
      </c>
      <c r="W122" s="16">
        <v>1373.343847642567</v>
      </c>
      <c r="X122" s="16">
        <v>0.56100647371019896</v>
      </c>
      <c r="Z122" s="16">
        <v>0.12</v>
      </c>
      <c r="AA122" s="35">
        <v>1</v>
      </c>
      <c r="AB122" s="23">
        <v>0</v>
      </c>
      <c r="AC122" s="16" t="e">
        <v>#DIV/0!</v>
      </c>
      <c r="AD122" s="16">
        <v>0.99996832875816688</v>
      </c>
    </row>
    <row r="123" spans="20:30" x14ac:dyDescent="0.4">
      <c r="T123" s="16">
        <v>0.121</v>
      </c>
      <c r="U123" s="16">
        <v>898.76</v>
      </c>
      <c r="V123" s="16">
        <v>0.367140522875817</v>
      </c>
      <c r="W123" s="16">
        <v>1373.343847642567</v>
      </c>
      <c r="X123" s="16">
        <v>0.56100647371019896</v>
      </c>
      <c r="Z123" s="16">
        <v>0.121</v>
      </c>
      <c r="AA123" s="35">
        <v>1</v>
      </c>
      <c r="AB123" s="23">
        <v>0</v>
      </c>
      <c r="AC123" s="16" t="e">
        <v>#DIV/0!</v>
      </c>
      <c r="AD123" s="16">
        <v>0.99997250440626506</v>
      </c>
    </row>
    <row r="124" spans="20:30" x14ac:dyDescent="0.4">
      <c r="T124" s="16">
        <v>0.122</v>
      </c>
      <c r="U124" s="16">
        <v>898.76</v>
      </c>
      <c r="V124" s="16">
        <v>0.367140522875817</v>
      </c>
      <c r="W124" s="16">
        <v>1373.343847642567</v>
      </c>
      <c r="X124" s="16">
        <v>0.56100647371019896</v>
      </c>
      <c r="Z124" s="16">
        <v>0.122</v>
      </c>
      <c r="AA124" s="35">
        <v>1</v>
      </c>
      <c r="AB124" s="23">
        <v>0</v>
      </c>
      <c r="AC124" s="16" t="e">
        <v>#DIV/0!</v>
      </c>
      <c r="AD124" s="16">
        <v>0.99997615480928981</v>
      </c>
    </row>
    <row r="125" spans="20:30" x14ac:dyDescent="0.4">
      <c r="T125" s="16">
        <v>0.123</v>
      </c>
      <c r="U125" s="16">
        <v>898.76</v>
      </c>
      <c r="V125" s="16">
        <v>0.367140522875817</v>
      </c>
      <c r="W125" s="16">
        <v>1373.343847642567</v>
      </c>
      <c r="X125" s="16">
        <v>0.56100647371019896</v>
      </c>
      <c r="Z125" s="16">
        <v>0.123</v>
      </c>
      <c r="AA125" s="35">
        <v>1</v>
      </c>
      <c r="AB125" s="23">
        <v>0</v>
      </c>
      <c r="AC125" s="16" t="e">
        <v>#DIV/0!</v>
      </c>
      <c r="AD125" s="16">
        <v>0.99997934249308751</v>
      </c>
    </row>
    <row r="126" spans="20:30" x14ac:dyDescent="0.4">
      <c r="T126" s="16">
        <v>0.124</v>
      </c>
      <c r="U126" s="16">
        <v>898.76</v>
      </c>
      <c r="V126" s="16">
        <v>0.367140522875817</v>
      </c>
      <c r="W126" s="16">
        <v>1373.343847642567</v>
      </c>
      <c r="X126" s="16">
        <v>0.56100647371019896</v>
      </c>
      <c r="Z126" s="16">
        <v>0.124</v>
      </c>
      <c r="AA126" s="35">
        <v>1</v>
      </c>
      <c r="AB126" s="23">
        <v>0</v>
      </c>
      <c r="AC126" s="16" t="e">
        <v>#DIV/0!</v>
      </c>
      <c r="AD126" s="16">
        <v>0.99998212302029876</v>
      </c>
    </row>
    <row r="127" spans="20:30" x14ac:dyDescent="0.4">
      <c r="T127" s="16">
        <v>0.125</v>
      </c>
      <c r="U127" s="16">
        <v>898.76</v>
      </c>
      <c r="V127" s="16">
        <v>0.367140522875817</v>
      </c>
      <c r="W127" s="16">
        <v>1373.343847642567</v>
      </c>
      <c r="X127" s="16">
        <v>0.56100647371019896</v>
      </c>
      <c r="Z127" s="16">
        <v>0.125</v>
      </c>
      <c r="AA127" s="35">
        <v>1</v>
      </c>
      <c r="AB127" s="23">
        <v>0</v>
      </c>
      <c r="AC127" s="16" t="e">
        <v>#DIV/0!</v>
      </c>
      <c r="AD127" s="16">
        <v>0.99998454570311768</v>
      </c>
    </row>
    <row r="128" spans="20:30" x14ac:dyDescent="0.4">
      <c r="T128" s="16">
        <v>0.126</v>
      </c>
      <c r="U128" s="16">
        <v>898.76</v>
      </c>
      <c r="V128" s="16">
        <v>0.367140522875817</v>
      </c>
      <c r="W128" s="16">
        <v>1373.343847642567</v>
      </c>
      <c r="X128" s="16">
        <v>0.56100647371019896</v>
      </c>
      <c r="Z128" s="16">
        <v>0.126</v>
      </c>
      <c r="AA128" s="35">
        <v>1</v>
      </c>
      <c r="AB128" s="23">
        <v>0</v>
      </c>
      <c r="AC128" s="16" t="e">
        <v>#DIV/0!</v>
      </c>
      <c r="AD128" s="16">
        <v>0.9999866542509841</v>
      </c>
    </row>
    <row r="129" spans="20:30" x14ac:dyDescent="0.4">
      <c r="T129" s="16">
        <v>0.127</v>
      </c>
      <c r="U129" s="16">
        <v>898.76</v>
      </c>
      <c r="V129" s="16">
        <v>0.367140522875817</v>
      </c>
      <c r="W129" s="16">
        <v>1373.343847642567</v>
      </c>
      <c r="X129" s="16">
        <v>0.56100647371019896</v>
      </c>
      <c r="Z129" s="16">
        <v>0.127</v>
      </c>
      <c r="AA129" s="35">
        <v>1</v>
      </c>
      <c r="AB129" s="23">
        <v>0</v>
      </c>
      <c r="AC129" s="16" t="e">
        <v>#DIV/0!</v>
      </c>
      <c r="AD129" s="16">
        <v>0.99998848735819013</v>
      </c>
    </row>
    <row r="130" spans="20:30" x14ac:dyDescent="0.4">
      <c r="T130" s="16">
        <v>0.128</v>
      </c>
      <c r="U130" s="16">
        <v>898.76</v>
      </c>
      <c r="V130" s="16">
        <v>0.367140522875817</v>
      </c>
      <c r="W130" s="16">
        <v>1373.343847642567</v>
      </c>
      <c r="X130" s="16">
        <v>0.56100647371019896</v>
      </c>
      <c r="Z130" s="16">
        <v>0.128</v>
      </c>
      <c r="AA130" s="35">
        <v>1</v>
      </c>
      <c r="AB130" s="23">
        <v>0</v>
      </c>
      <c r="AC130" s="16" t="e">
        <v>#DIV/0!</v>
      </c>
      <c r="AD130" s="16">
        <v>0.99999007923611449</v>
      </c>
    </row>
    <row r="131" spans="20:30" x14ac:dyDescent="0.4">
      <c r="T131" s="16">
        <v>0.129</v>
      </c>
      <c r="U131" s="16">
        <v>898.76053504111565</v>
      </c>
      <c r="V131" s="16">
        <v>0.36714074143836423</v>
      </c>
      <c r="W131" s="16">
        <v>1373.3696216112914</v>
      </c>
      <c r="X131" s="16">
        <v>0.5610170022921942</v>
      </c>
      <c r="Z131" s="16">
        <v>0.129</v>
      </c>
      <c r="AA131" s="35">
        <v>0.99993737644142378</v>
      </c>
      <c r="AB131" s="23">
        <v>2.5129785124419659E-4</v>
      </c>
      <c r="AC131" s="16">
        <v>4.012832501977984</v>
      </c>
      <c r="AD131" s="16">
        <v>0.99999146009452899</v>
      </c>
    </row>
    <row r="132" spans="20:30" x14ac:dyDescent="0.4">
      <c r="T132" s="16">
        <v>0.13</v>
      </c>
      <c r="U132" s="16">
        <v>898.76192589229277</v>
      </c>
      <c r="V132" s="16">
        <v>0.3671413095965248</v>
      </c>
      <c r="W132" s="16">
        <v>1373.4366216112915</v>
      </c>
      <c r="X132" s="16">
        <v>0.56104437157323994</v>
      </c>
      <c r="Z132" s="16">
        <v>0.13</v>
      </c>
      <c r="AA132" s="35">
        <v>0.9997745851201264</v>
      </c>
      <c r="AB132" s="23">
        <v>9.0455215652511967E-4</v>
      </c>
      <c r="AC132" s="16">
        <v>4.012832502594109</v>
      </c>
      <c r="AD132" s="16">
        <v>0.9999926565761631</v>
      </c>
    </row>
    <row r="133" spans="20:30" x14ac:dyDescent="0.4">
      <c r="T133" s="16">
        <v>0.13100000000000001</v>
      </c>
      <c r="U133" s="16">
        <v>898.76331674346989</v>
      </c>
      <c r="V133" s="16">
        <v>0.36714187775468543</v>
      </c>
      <c r="W133" s="16">
        <v>1373.5036216112915</v>
      </c>
      <c r="X133" s="16">
        <v>0.56107174085428568</v>
      </c>
      <c r="Z133" s="16">
        <v>0.13100000000000001</v>
      </c>
      <c r="AA133" s="35">
        <v>0.99961179379881315</v>
      </c>
      <c r="AB133" s="23">
        <v>1.5578064618060427E-3</v>
      </c>
      <c r="AC133" s="16">
        <v>4.0128325025293892</v>
      </c>
      <c r="AD133" s="16">
        <v>0.99999369214844513</v>
      </c>
    </row>
    <row r="134" spans="20:30" x14ac:dyDescent="0.4">
      <c r="T134" s="16">
        <v>0.13200000000000001</v>
      </c>
      <c r="U134" s="16">
        <v>898.76470759464723</v>
      </c>
      <c r="V134" s="16">
        <v>0.36714244591284612</v>
      </c>
      <c r="W134" s="16">
        <v>1373.5706216112915</v>
      </c>
      <c r="X134" s="16">
        <v>0.56109911013533154</v>
      </c>
      <c r="Z134" s="16">
        <v>0.13200000000000001</v>
      </c>
      <c r="AA134" s="35">
        <v>0.99944900247748392</v>
      </c>
      <c r="AB134" s="23">
        <v>2.2110607670896157E-3</v>
      </c>
      <c r="AC134" s="16">
        <v>4.012832502391289</v>
      </c>
      <c r="AD134" s="16">
        <v>0.99999458745609227</v>
      </c>
    </row>
    <row r="135" spans="20:30" x14ac:dyDescent="0.4">
      <c r="T135" s="16">
        <v>0.13300000000000001</v>
      </c>
      <c r="U135" s="16">
        <v>898.76609844582435</v>
      </c>
      <c r="V135" s="16">
        <v>0.36714301407100669</v>
      </c>
      <c r="W135" s="16">
        <v>1373.6376216112915</v>
      </c>
      <c r="X135" s="16">
        <v>0.56112647941637728</v>
      </c>
      <c r="Z135" s="16">
        <v>0.13300000000000001</v>
      </c>
      <c r="AA135" s="35">
        <v>0.99928621115618654</v>
      </c>
      <c r="AB135" s="23">
        <v>2.8643150723705389E-3</v>
      </c>
      <c r="AC135" s="16">
        <v>4.0128325024916007</v>
      </c>
      <c r="AD135" s="16">
        <v>0.99999536063796857</v>
      </c>
    </row>
    <row r="136" spans="20:30" x14ac:dyDescent="0.4">
      <c r="T136" s="16">
        <v>0.13400000000000001</v>
      </c>
      <c r="U136" s="16">
        <v>898.7674892970017</v>
      </c>
      <c r="V136" s="16">
        <v>0.36714358222916738</v>
      </c>
      <c r="W136" s="16">
        <v>1373.7046216112915</v>
      </c>
      <c r="X136" s="16">
        <v>0.56115384869742302</v>
      </c>
      <c r="Z136" s="16">
        <v>0.13400000000000001</v>
      </c>
      <c r="AA136" s="35">
        <v>0.99912341983485731</v>
      </c>
      <c r="AB136" s="23">
        <v>3.5175693776514621E-3</v>
      </c>
      <c r="AC136" s="16">
        <v>4.0128325024087887</v>
      </c>
      <c r="AD136" s="16">
        <v>0.99999602761139661</v>
      </c>
    </row>
    <row r="137" spans="20:30" x14ac:dyDescent="0.4">
      <c r="T137" s="16">
        <v>0.13500000000000001</v>
      </c>
      <c r="U137" s="16">
        <v>898.76888014817882</v>
      </c>
      <c r="V137" s="16">
        <v>0.36714415038732795</v>
      </c>
      <c r="W137" s="16">
        <v>1373.7716216112915</v>
      </c>
      <c r="X137" s="16">
        <v>0.56118121797846876</v>
      </c>
      <c r="Z137" s="16">
        <v>0.13500000000000001</v>
      </c>
      <c r="AA137" s="35">
        <v>0.99896062851355993</v>
      </c>
      <c r="AB137" s="23">
        <v>4.1708236829323848E-3</v>
      </c>
      <c r="AC137" s="16">
        <v>4.0128325024749367</v>
      </c>
      <c r="AD137" s="16">
        <v>0.99999660232687526</v>
      </c>
    </row>
    <row r="138" spans="20:30" x14ac:dyDescent="0.4">
      <c r="T138" s="16">
        <v>0.13600000000000001</v>
      </c>
      <c r="U138" s="16">
        <v>898.77027099935594</v>
      </c>
      <c r="V138" s="16">
        <v>0.36714471854548852</v>
      </c>
      <c r="W138" s="16">
        <v>1373.8386216112915</v>
      </c>
      <c r="X138" s="16">
        <v>0.5612085872595145</v>
      </c>
      <c r="Z138" s="16">
        <v>0.13600000000000001</v>
      </c>
      <c r="AA138" s="35">
        <v>0.99879783719226256</v>
      </c>
      <c r="AB138" s="23">
        <v>4.8240779882133085E-3</v>
      </c>
      <c r="AC138" s="16">
        <v>4.0128325025231701</v>
      </c>
      <c r="AD138" s="16">
        <v>0.99999709699593942</v>
      </c>
    </row>
    <row r="139" spans="20:30" x14ac:dyDescent="0.4">
      <c r="T139" s="16">
        <v>0.13700000000000001</v>
      </c>
      <c r="U139" s="16">
        <v>898.77166185053329</v>
      </c>
      <c r="V139" s="16">
        <v>0.36714528670364921</v>
      </c>
      <c r="W139" s="16">
        <v>1373.9056216112915</v>
      </c>
      <c r="X139" s="16">
        <v>0.56123595654056024</v>
      </c>
      <c r="Z139" s="16">
        <v>0.13700000000000001</v>
      </c>
      <c r="AA139" s="35">
        <v>0.99863504587093332</v>
      </c>
      <c r="AB139" s="23">
        <v>5.4773322934942312E-3</v>
      </c>
      <c r="AC139" s="16">
        <v>4.0128325024662228</v>
      </c>
      <c r="AD139" s="16">
        <v>0.99999752229468664</v>
      </c>
    </row>
    <row r="140" spans="20:30" x14ac:dyDescent="0.4">
      <c r="T140" s="16">
        <v>0.13800000000000001</v>
      </c>
      <c r="U140" s="16">
        <v>898.77305270171041</v>
      </c>
      <c r="V140" s="16">
        <v>0.36714585486180978</v>
      </c>
      <c r="W140" s="16">
        <v>1373.9726216112915</v>
      </c>
      <c r="X140" s="16">
        <v>0.56126332582160599</v>
      </c>
      <c r="Z140" s="16">
        <v>0.13800000000000001</v>
      </c>
      <c r="AA140" s="35">
        <v>0.99847225454963595</v>
      </c>
      <c r="AB140" s="23">
        <v>6.1305865987751548E-3</v>
      </c>
      <c r="AC140" s="16">
        <v>4.0128325025051055</v>
      </c>
      <c r="AD140" s="16">
        <v>0.9999978875452975</v>
      </c>
    </row>
    <row r="141" spans="20:30" x14ac:dyDescent="0.4">
      <c r="T141" s="16">
        <v>0.13900000000000001</v>
      </c>
      <c r="U141" s="16">
        <v>898.77444355288753</v>
      </c>
      <c r="V141" s="16">
        <v>0.36714642301997041</v>
      </c>
      <c r="W141" s="16">
        <v>1374.0396216112915</v>
      </c>
      <c r="X141" s="16">
        <v>0.56129069510265173</v>
      </c>
      <c r="Z141" s="16">
        <v>0.13900000000000001</v>
      </c>
      <c r="AA141" s="35">
        <v>0.9983094632283227</v>
      </c>
      <c r="AB141" s="23">
        <v>6.7838409040560776E-3</v>
      </c>
      <c r="AC141" s="16">
        <v>4.0128325024988145</v>
      </c>
      <c r="AD141" s="16">
        <v>0.99999820087768909</v>
      </c>
    </row>
    <row r="142" spans="20:30" x14ac:dyDescent="0.4">
      <c r="T142" s="16">
        <v>0.14000000000000001</v>
      </c>
      <c r="U142" s="16">
        <v>898.77583440406488</v>
      </c>
      <c r="V142" s="16">
        <v>0.3671469911781311</v>
      </c>
      <c r="W142" s="16">
        <v>1374.1066216112915</v>
      </c>
      <c r="X142" s="16">
        <v>0.56131806438369747</v>
      </c>
      <c r="Z142" s="16">
        <v>0.14000000000000001</v>
      </c>
      <c r="AA142" s="35">
        <v>0.99814667190699347</v>
      </c>
      <c r="AB142" s="23">
        <v>7.4370952093370012E-3</v>
      </c>
      <c r="AC142" s="16">
        <v>4.0128325024590126</v>
      </c>
      <c r="AD142" s="16">
        <v>0.99999846937326342</v>
      </c>
    </row>
    <row r="143" spans="20:30" x14ac:dyDescent="0.4">
      <c r="T143" s="16">
        <v>0.14100000000000001</v>
      </c>
      <c r="U143" s="16">
        <v>898.777225255242</v>
      </c>
      <c r="V143" s="16">
        <v>0.36714755933629167</v>
      </c>
      <c r="W143" s="16">
        <v>1374.1736216112915</v>
      </c>
      <c r="X143" s="16">
        <v>0.56134543366474332</v>
      </c>
      <c r="Z143" s="16">
        <v>0.14100000000000001</v>
      </c>
      <c r="AA143" s="35">
        <v>0.99798388058569609</v>
      </c>
      <c r="AB143" s="23">
        <v>8.0903495146205737E-3</v>
      </c>
      <c r="AC143" s="16">
        <v>4.0128325024903733</v>
      </c>
      <c r="AD143" s="16">
        <v>0.99999869919254614</v>
      </c>
    </row>
    <row r="144" spans="20:30" x14ac:dyDescent="0.4">
      <c r="T144" s="16">
        <v>0.14200000000000002</v>
      </c>
      <c r="U144" s="16">
        <v>898.77861610641935</v>
      </c>
      <c r="V144" s="16">
        <v>0.36714812749445236</v>
      </c>
      <c r="W144" s="16">
        <v>1374.2406216112915</v>
      </c>
      <c r="X144" s="16">
        <v>0.56137280294578906</v>
      </c>
      <c r="Z144" s="16">
        <v>0.14200000000000002</v>
      </c>
      <c r="AA144" s="35">
        <v>0.99782108926436686</v>
      </c>
      <c r="AB144" s="23">
        <v>8.7436038199014965E-3</v>
      </c>
      <c r="AC144" s="16">
        <v>4.0128325024571492</v>
      </c>
      <c r="AD144" s="16">
        <v>0.99999889568835554</v>
      </c>
    </row>
    <row r="145" spans="20:30" x14ac:dyDescent="0.4">
      <c r="T145" s="16">
        <v>0.14300000000000002</v>
      </c>
      <c r="U145" s="16">
        <v>898.78000695759647</v>
      </c>
      <c r="V145" s="16">
        <v>0.36714869565261293</v>
      </c>
      <c r="W145" s="16">
        <v>1374.3076216112916</v>
      </c>
      <c r="X145" s="16">
        <v>0.5614001722268348</v>
      </c>
      <c r="Z145" s="16">
        <v>0.14300000000000002</v>
      </c>
      <c r="AA145" s="35">
        <v>0.99765829794306948</v>
      </c>
      <c r="AB145" s="23">
        <v>9.3968581251824192E-3</v>
      </c>
      <c r="AC145" s="16">
        <v>4.012832502483147</v>
      </c>
      <c r="AD145" s="16">
        <v>0.99999906350599832</v>
      </c>
    </row>
    <row r="146" spans="20:30" x14ac:dyDescent="0.4">
      <c r="T146" s="16">
        <v>0.14400000000000002</v>
      </c>
      <c r="U146" s="16">
        <v>898.78139780877359</v>
      </c>
      <c r="V146" s="16">
        <v>0.36714926381077351</v>
      </c>
      <c r="W146" s="16">
        <v>1374.3746216112913</v>
      </c>
      <c r="X146" s="16">
        <v>0.56142754150788043</v>
      </c>
      <c r="Z146" s="16">
        <v>0.14400000000000002</v>
      </c>
      <c r="AA146" s="35">
        <v>0.99749550662177211</v>
      </c>
      <c r="AB146" s="23">
        <v>1.0050112430460693E-2</v>
      </c>
      <c r="AC146" s="16">
        <v>4.0128325025047076</v>
      </c>
      <c r="AD146" s="16">
        <v>0.99999920667184805</v>
      </c>
    </row>
    <row r="147" spans="20:30" x14ac:dyDescent="0.4">
      <c r="T147" s="16">
        <v>0.14499999999999999</v>
      </c>
      <c r="U147" s="16">
        <v>898.78278865995094</v>
      </c>
      <c r="V147" s="16">
        <v>0.36714983196893419</v>
      </c>
      <c r="W147" s="16">
        <v>1374.4416216112913</v>
      </c>
      <c r="X147" s="16">
        <v>0.56145491078892618</v>
      </c>
      <c r="Z147" s="16">
        <v>0.14499999999999999</v>
      </c>
      <c r="AA147" s="35">
        <v>0.99733271530044287</v>
      </c>
      <c r="AB147" s="23">
        <v>1.0703366735741616E-2</v>
      </c>
      <c r="AC147" s="16">
        <v>4.0128325024766927</v>
      </c>
      <c r="AD147" s="16">
        <v>0.99999932867154417</v>
      </c>
    </row>
    <row r="148" spans="20:30" x14ac:dyDescent="0.4">
      <c r="T148" s="16">
        <v>0.14599999999999999</v>
      </c>
      <c r="U148" s="16">
        <v>898.78417951112806</v>
      </c>
      <c r="V148" s="16">
        <v>0.36715040012709482</v>
      </c>
      <c r="W148" s="16">
        <v>1374.5086216112913</v>
      </c>
      <c r="X148" s="16">
        <v>0.56148228006997192</v>
      </c>
      <c r="Z148" s="16">
        <v>0.14599999999999999</v>
      </c>
      <c r="AA148" s="35">
        <v>0.99716992397912962</v>
      </c>
      <c r="AB148" s="23">
        <v>1.135662104102254E-2</v>
      </c>
      <c r="AC148" s="16">
        <v>4.012832502474569</v>
      </c>
      <c r="AD148" s="16">
        <v>0.99999943251892753</v>
      </c>
    </row>
    <row r="149" spans="20:30" x14ac:dyDescent="0.4">
      <c r="T149" s="16">
        <v>0.14699999999999999</v>
      </c>
      <c r="U149" s="16">
        <v>898.78557036230518</v>
      </c>
      <c r="V149" s="16">
        <v>0.3671509682852554</v>
      </c>
      <c r="W149" s="16">
        <v>1374.5756216112914</v>
      </c>
      <c r="X149" s="16">
        <v>0.56150964935101766</v>
      </c>
      <c r="Z149" s="16">
        <v>0.14699999999999999</v>
      </c>
      <c r="AA149" s="35">
        <v>0.99700713265783225</v>
      </c>
      <c r="AB149" s="23">
        <v>1.2009875346303463E-2</v>
      </c>
      <c r="AC149" s="16">
        <v>4.0128325024939633</v>
      </c>
      <c r="AD149" s="16">
        <v>0.99999952081672339</v>
      </c>
    </row>
    <row r="150" spans="20:30" x14ac:dyDescent="0.4">
      <c r="T150" s="16">
        <v>0.14799999999999999</v>
      </c>
      <c r="U150" s="16">
        <v>898.78696121348253</v>
      </c>
      <c r="V150" s="16">
        <v>0.36715153644341608</v>
      </c>
      <c r="W150" s="16">
        <v>1374.6426216112914</v>
      </c>
      <c r="X150" s="16">
        <v>0.56153701863206351</v>
      </c>
      <c r="Z150" s="16">
        <v>0.14799999999999999</v>
      </c>
      <c r="AA150" s="35">
        <v>0.99684434133650301</v>
      </c>
      <c r="AB150" s="23">
        <v>1.2663129651587036E-2</v>
      </c>
      <c r="AC150" s="16">
        <v>4.0128325024716771</v>
      </c>
      <c r="AD150" s="16">
        <v>0.99999959580988484</v>
      </c>
    </row>
    <row r="151" spans="20:30" x14ac:dyDescent="0.4">
      <c r="T151" s="16">
        <v>0.14899999999999999</v>
      </c>
      <c r="U151" s="16">
        <v>898.78835206465965</v>
      </c>
      <c r="V151" s="16">
        <v>0.36715210460157666</v>
      </c>
      <c r="W151" s="16">
        <v>1374.7096216112914</v>
      </c>
      <c r="X151" s="16">
        <v>0.56156438791310925</v>
      </c>
      <c r="Z151" s="16">
        <v>0.14899999999999999</v>
      </c>
      <c r="AA151" s="35">
        <v>0.99668155001520564</v>
      </c>
      <c r="AB151" s="23">
        <v>1.3316383956867959E-2</v>
      </c>
      <c r="AC151" s="16">
        <v>4.0128325024893101</v>
      </c>
      <c r="AD151" s="16">
        <v>0.99999965943241798</v>
      </c>
    </row>
    <row r="152" spans="20:30" x14ac:dyDescent="0.4">
      <c r="T152" s="16">
        <v>0.15</v>
      </c>
      <c r="U152" s="16">
        <v>898.789742915837</v>
      </c>
      <c r="V152" s="16">
        <v>0.36715267275973734</v>
      </c>
      <c r="W152" s="16">
        <v>1374.7766216112914</v>
      </c>
      <c r="X152" s="16">
        <v>0.56159175719415499</v>
      </c>
      <c r="Z152" s="16">
        <v>0.15</v>
      </c>
      <c r="AA152" s="35">
        <v>0.99651875869387641</v>
      </c>
      <c r="AB152" s="23">
        <v>1.3969638262148882E-2</v>
      </c>
      <c r="AC152" s="16">
        <v>4.0128325024685658</v>
      </c>
      <c r="AD152" s="16">
        <v>0.99999971334842808</v>
      </c>
    </row>
    <row r="153" spans="20:30" x14ac:dyDescent="0.4">
      <c r="T153" s="16">
        <v>0.151</v>
      </c>
      <c r="U153" s="16">
        <v>898.79113376701412</v>
      </c>
      <c r="V153" s="16">
        <v>0.36715324091789792</v>
      </c>
      <c r="W153" s="16">
        <v>1374.8436216112914</v>
      </c>
      <c r="X153" s="16">
        <v>0.56161912647520074</v>
      </c>
      <c r="Z153" s="16">
        <v>0.151</v>
      </c>
      <c r="AA153" s="35">
        <v>0.99635596737257903</v>
      </c>
      <c r="AB153" s="23">
        <v>1.4622892567429805E-2</v>
      </c>
      <c r="AC153" s="16">
        <v>4.0128325024847618</v>
      </c>
      <c r="AD153" s="16">
        <v>0.99999975898804938</v>
      </c>
    </row>
    <row r="154" spans="20:30" x14ac:dyDescent="0.4">
      <c r="T154" s="16">
        <v>0.152</v>
      </c>
      <c r="U154" s="16">
        <v>898.79252461819124</v>
      </c>
      <c r="V154" s="16">
        <v>0.36715380907605849</v>
      </c>
      <c r="W154" s="16">
        <v>1374.9106216112914</v>
      </c>
      <c r="X154" s="16">
        <v>0.56164649575624648</v>
      </c>
      <c r="Z154" s="16">
        <v>0.152</v>
      </c>
      <c r="AA154" s="35">
        <v>0.99619317605128166</v>
      </c>
      <c r="AB154" s="23">
        <v>1.5276146872710727E-2</v>
      </c>
      <c r="AC154" s="16">
        <v>4.012832502499573</v>
      </c>
      <c r="AD154" s="16">
        <v>0.99999979757885205</v>
      </c>
    </row>
    <row r="155" spans="20:30" x14ac:dyDescent="0.4">
      <c r="T155" s="16">
        <v>0.153</v>
      </c>
      <c r="U155" s="16">
        <v>898.79391546936859</v>
      </c>
      <c r="V155" s="16">
        <v>0.36715437723421918</v>
      </c>
      <c r="W155" s="16">
        <v>1374.9776216112914</v>
      </c>
      <c r="X155" s="16">
        <v>0.56167386503729222</v>
      </c>
      <c r="Z155" s="16">
        <v>0.153</v>
      </c>
      <c r="AA155" s="35">
        <v>0.99603038472995242</v>
      </c>
      <c r="AB155" s="23">
        <v>1.5929401177991652E-2</v>
      </c>
      <c r="AC155" s="16">
        <v>4.0128325024809604</v>
      </c>
      <c r="AD155" s="16">
        <v>0.99999983017325933</v>
      </c>
    </row>
    <row r="156" spans="20:30" x14ac:dyDescent="0.4">
      <c r="T156" s="16">
        <v>0.154</v>
      </c>
      <c r="U156" s="16">
        <v>898.79530632054571</v>
      </c>
      <c r="V156" s="16">
        <v>0.36715494539237981</v>
      </c>
      <c r="W156" s="16">
        <v>1375.0446216112914</v>
      </c>
      <c r="X156" s="16">
        <v>0.56170123431833796</v>
      </c>
      <c r="Z156" s="16">
        <v>0.154</v>
      </c>
      <c r="AA156" s="35">
        <v>0.99586759340863917</v>
      </c>
      <c r="AB156" s="23">
        <v>1.6582655483272573E-2</v>
      </c>
      <c r="AC156" s="16">
        <v>4.0128325024793368</v>
      </c>
      <c r="AD156" s="16">
        <v>0.99999985767244648</v>
      </c>
    </row>
    <row r="157" spans="20:30" x14ac:dyDescent="0.4">
      <c r="T157" s="16">
        <v>0.155</v>
      </c>
      <c r="U157" s="16">
        <v>898.79669717172305</v>
      </c>
      <c r="V157" s="16">
        <v>0.36715551355054044</v>
      </c>
      <c r="W157" s="16">
        <v>1375.1116216112914</v>
      </c>
      <c r="X157" s="16">
        <v>0.5617286035993837</v>
      </c>
      <c r="Z157" s="16">
        <v>0.155</v>
      </c>
      <c r="AA157" s="35">
        <v>0.99570480208732592</v>
      </c>
      <c r="AB157" s="23">
        <v>1.7235909788553497E-2</v>
      </c>
      <c r="AC157" s="16">
        <v>4.0128325024778375</v>
      </c>
      <c r="AD157" s="16">
        <v>0.99999988084714664</v>
      </c>
    </row>
    <row r="158" spans="20:30" x14ac:dyDescent="0.4">
      <c r="T158" s="16">
        <v>0.156</v>
      </c>
      <c r="U158" s="16">
        <v>898.79808802290017</v>
      </c>
      <c r="V158" s="16">
        <v>0.36715608170870107</v>
      </c>
      <c r="W158" s="16">
        <v>1375.1786216112914</v>
      </c>
      <c r="X158" s="16">
        <v>0.56175597288042955</v>
      </c>
      <c r="Z158" s="16">
        <v>0.156</v>
      </c>
      <c r="AA158" s="35">
        <v>0.99554201076601256</v>
      </c>
      <c r="AB158" s="23">
        <v>1.7889164093837069E-2</v>
      </c>
      <c r="AC158" s="16">
        <v>4.0128325024769422</v>
      </c>
      <c r="AD158" s="16">
        <v>0.99999990035573683</v>
      </c>
    </row>
    <row r="159" spans="20:30" x14ac:dyDescent="0.4">
      <c r="T159" s="16">
        <v>0.157</v>
      </c>
      <c r="U159" s="16">
        <v>898.79947887407729</v>
      </c>
      <c r="V159" s="16">
        <v>0.36715664986686164</v>
      </c>
      <c r="W159" s="16">
        <v>1375.2456216112914</v>
      </c>
      <c r="X159" s="16">
        <v>0.5617833421614753</v>
      </c>
      <c r="Z159" s="16">
        <v>0.157</v>
      </c>
      <c r="AA159" s="35">
        <v>0.99537921944471519</v>
      </c>
      <c r="AB159" s="23">
        <v>1.8542418399117994E-2</v>
      </c>
      <c r="AC159" s="16">
        <v>4.0128325024894202</v>
      </c>
      <c r="AD159" s="16">
        <v>0.99999991675994004</v>
      </c>
    </row>
    <row r="160" spans="20:30" x14ac:dyDescent="0.4">
      <c r="T160" s="16">
        <v>0.158</v>
      </c>
      <c r="U160" s="16">
        <v>898.80086972525464</v>
      </c>
      <c r="V160" s="16">
        <v>0.36715721802502232</v>
      </c>
      <c r="W160" s="16">
        <v>1375.3126216112914</v>
      </c>
      <c r="X160" s="16">
        <v>0.56181071144252104</v>
      </c>
      <c r="Z160" s="16">
        <v>0.158</v>
      </c>
      <c r="AA160" s="35">
        <v>0.99521642812338595</v>
      </c>
      <c r="AB160" s="23">
        <v>1.9195672704398918E-2</v>
      </c>
      <c r="AC160" s="16">
        <v>4.0128325024743194</v>
      </c>
      <c r="AD160" s="16">
        <v>0.9999999305384385</v>
      </c>
    </row>
    <row r="161" spans="20:30" x14ac:dyDescent="0.4">
      <c r="T161" s="16">
        <v>0.159</v>
      </c>
      <c r="U161" s="16">
        <v>898.80226057643176</v>
      </c>
      <c r="V161" s="16">
        <v>0.3671577861831829</v>
      </c>
      <c r="W161" s="16">
        <v>1375.3796216112914</v>
      </c>
      <c r="X161" s="16">
        <v>0.56183808072356678</v>
      </c>
      <c r="Z161" s="16">
        <v>0.159</v>
      </c>
      <c r="AA161" s="35">
        <v>0.99505363680208858</v>
      </c>
      <c r="AB161" s="23">
        <v>1.9848927009679839E-2</v>
      </c>
      <c r="AC161" s="16">
        <v>4.012832502486062</v>
      </c>
      <c r="AD161" s="16">
        <v>0.99999994209865961</v>
      </c>
    </row>
    <row r="162" spans="20:30" x14ac:dyDescent="0.4">
      <c r="T162" s="16">
        <v>0.16</v>
      </c>
      <c r="U162" s="16">
        <v>898.80365142760888</v>
      </c>
      <c r="V162" s="16">
        <v>0.36715835434134347</v>
      </c>
      <c r="W162" s="16">
        <v>1375.4466216112914</v>
      </c>
      <c r="X162" s="16">
        <v>0.56186545000461252</v>
      </c>
      <c r="Z162" s="16">
        <v>0.16</v>
      </c>
      <c r="AA162" s="35">
        <v>0.99489084548079121</v>
      </c>
      <c r="AB162" s="23">
        <v>2.0502181314960764E-2</v>
      </c>
      <c r="AC162" s="16">
        <v>4.0128325024970568</v>
      </c>
      <c r="AD162" s="16">
        <v>0.99999995178696632</v>
      </c>
    </row>
    <row r="163" spans="20:30" x14ac:dyDescent="0.4">
      <c r="T163" s="16">
        <v>0.161</v>
      </c>
      <c r="U163" s="16">
        <v>898.80504227878623</v>
      </c>
      <c r="V163" s="16">
        <v>0.36715892249950416</v>
      </c>
      <c r="W163" s="16">
        <v>1375.5136216112915</v>
      </c>
      <c r="X163" s="16">
        <v>0.56189281928565826</v>
      </c>
      <c r="Z163" s="16">
        <v>0.161</v>
      </c>
      <c r="AA163" s="35">
        <v>0.99472805415946197</v>
      </c>
      <c r="AB163" s="23">
        <v>2.1155435620241685E-2</v>
      </c>
      <c r="AC163" s="16">
        <v>4.0128325024831186</v>
      </c>
      <c r="AD163" s="16">
        <v>0.99999995989745682</v>
      </c>
    </row>
    <row r="164" spans="20:30" x14ac:dyDescent="0.4">
      <c r="T164" s="16">
        <v>0.16200000000000001</v>
      </c>
      <c r="U164" s="16">
        <v>898.80643312996335</v>
      </c>
      <c r="V164" s="16">
        <v>0.36715949065766479</v>
      </c>
      <c r="W164" s="16">
        <v>1375.5806216112915</v>
      </c>
      <c r="X164" s="16">
        <v>0.561920188566704</v>
      </c>
      <c r="Z164" s="16">
        <v>0.16200000000000001</v>
      </c>
      <c r="AA164" s="35">
        <v>0.99456526283814872</v>
      </c>
      <c r="AB164" s="23">
        <v>2.1808689925522609E-2</v>
      </c>
      <c r="AC164" s="16">
        <v>4.012832502481821</v>
      </c>
      <c r="AD164" s="16">
        <v>0.99999996667955149</v>
      </c>
    </row>
    <row r="165" spans="20:30" x14ac:dyDescent="0.4">
      <c r="T165" s="16">
        <v>0.16300000000000001</v>
      </c>
      <c r="U165" s="16">
        <v>898.8078239811407</v>
      </c>
      <c r="V165" s="16">
        <v>0.36716005881582547</v>
      </c>
      <c r="W165" s="16">
        <v>1375.6476216112915</v>
      </c>
      <c r="X165" s="16">
        <v>0.56194755784774975</v>
      </c>
      <c r="Z165" s="16">
        <v>0.16300000000000001</v>
      </c>
      <c r="AA165" s="35">
        <v>0.99440247151681949</v>
      </c>
      <c r="AB165" s="23">
        <v>2.2461944230803534E-2</v>
      </c>
      <c r="AC165" s="16">
        <v>4.0128325024691369</v>
      </c>
      <c r="AD165" s="16">
        <v>0.99999997234452753</v>
      </c>
    </row>
    <row r="166" spans="20:30" x14ac:dyDescent="0.4">
      <c r="T166" s="16">
        <v>0.16400000000000001</v>
      </c>
      <c r="U166" s="16">
        <v>898.80921483231782</v>
      </c>
      <c r="V166" s="16">
        <v>0.36716062697398605</v>
      </c>
      <c r="W166" s="16">
        <v>1375.7146216112915</v>
      </c>
      <c r="X166" s="16">
        <v>0.56197492712879549</v>
      </c>
      <c r="Z166" s="16">
        <v>0.16400000000000001</v>
      </c>
      <c r="AA166" s="35">
        <v>0.99423968019552211</v>
      </c>
      <c r="AB166" s="23">
        <v>2.3115198536084455E-2</v>
      </c>
      <c r="AC166" s="16">
        <v>4.012832502479367</v>
      </c>
      <c r="AD166" s="16">
        <v>0.99999997707113786</v>
      </c>
    </row>
    <row r="167" spans="20:30" x14ac:dyDescent="0.4">
      <c r="T167" s="16">
        <v>0.16500000000000001</v>
      </c>
      <c r="U167" s="16">
        <v>898.81060568349494</v>
      </c>
      <c r="V167" s="16">
        <v>0.36716119513214662</v>
      </c>
      <c r="W167" s="16">
        <v>1375.7816216112915</v>
      </c>
      <c r="X167" s="16">
        <v>0.56200229640984134</v>
      </c>
      <c r="Z167" s="16">
        <v>0.16500000000000001</v>
      </c>
      <c r="AA167" s="35">
        <v>0.99407688887422474</v>
      </c>
      <c r="AB167" s="23">
        <v>2.376845284136803E-2</v>
      </c>
      <c r="AC167" s="16">
        <v>4.0128325024894824</v>
      </c>
      <c r="AD167" s="16">
        <v>0.99999998101043752</v>
      </c>
    </row>
    <row r="168" spans="20:30" x14ac:dyDescent="0.4">
      <c r="T168" s="16">
        <v>0.16600000000000001</v>
      </c>
      <c r="U168" s="16">
        <v>898.81199653467229</v>
      </c>
      <c r="V168" s="16">
        <v>0.36716176329030731</v>
      </c>
      <c r="W168" s="16">
        <v>1375.8486216112915</v>
      </c>
      <c r="X168" s="16">
        <v>0.56202966569088708</v>
      </c>
      <c r="Z168" s="16">
        <v>0.16600000000000001</v>
      </c>
      <c r="AA168" s="35">
        <v>0.9939140975528955</v>
      </c>
      <c r="AB168" s="23">
        <v>2.4421707146648951E-2</v>
      </c>
      <c r="AC168" s="16">
        <v>4.012832502477611</v>
      </c>
      <c r="AD168" s="16">
        <v>0.9999999842899232</v>
      </c>
    </row>
    <row r="169" spans="20:30" x14ac:dyDescent="0.4">
      <c r="T169" s="16">
        <v>0.16700000000000001</v>
      </c>
      <c r="U169" s="16">
        <v>898.81338738584941</v>
      </c>
      <c r="V169" s="16">
        <v>0.36716233144846788</v>
      </c>
      <c r="W169" s="16">
        <v>1375.9156216112915</v>
      </c>
      <c r="X169" s="16">
        <v>0.56205703497193282</v>
      </c>
      <c r="Z169" s="16">
        <v>0.16700000000000001</v>
      </c>
      <c r="AA169" s="35">
        <v>0.99375130623159813</v>
      </c>
      <c r="AB169" s="23">
        <v>2.5074961451929875E-2</v>
      </c>
      <c r="AC169" s="16">
        <v>4.0128325024868206</v>
      </c>
      <c r="AD169" s="16">
        <v>0.99999998701707893</v>
      </c>
    </row>
    <row r="170" spans="20:30" x14ac:dyDescent="0.4">
      <c r="T170" s="16">
        <v>0.16800000000000001</v>
      </c>
      <c r="U170" s="16">
        <v>898.81477823702676</v>
      </c>
      <c r="V170" s="16">
        <v>0.36716289960662857</v>
      </c>
      <c r="W170" s="16">
        <v>1375.9826216112915</v>
      </c>
      <c r="X170" s="16">
        <v>0.56208440425297856</v>
      </c>
      <c r="Z170" s="16">
        <v>0.16800000000000001</v>
      </c>
      <c r="AA170" s="35">
        <v>0.99358851491026889</v>
      </c>
      <c r="AB170" s="23">
        <v>2.5728215757210796E-2</v>
      </c>
      <c r="AC170" s="16">
        <v>4.0128325024756197</v>
      </c>
      <c r="AD170" s="16">
        <v>0.99999998928240974</v>
      </c>
    </row>
    <row r="171" spans="20:30" x14ac:dyDescent="0.4">
      <c r="T171" s="16">
        <v>0.16900000000000001</v>
      </c>
      <c r="U171" s="16">
        <v>898.81616908820388</v>
      </c>
      <c r="V171" s="16">
        <v>0.36716346776478914</v>
      </c>
      <c r="W171" s="16">
        <v>1376.0496216112915</v>
      </c>
      <c r="X171" s="16">
        <v>0.56211177353402431</v>
      </c>
      <c r="Z171" s="16">
        <v>0.16900000000000001</v>
      </c>
      <c r="AA171" s="35">
        <v>0.99342572358897152</v>
      </c>
      <c r="AB171" s="23">
        <v>2.6381470062491721E-2</v>
      </c>
      <c r="AC171" s="16">
        <v>4.0128325024844225</v>
      </c>
      <c r="AD171" s="16">
        <v>0.99999999116203309</v>
      </c>
    </row>
    <row r="172" spans="20:30" x14ac:dyDescent="0.4">
      <c r="T172" s="16">
        <v>0.17</v>
      </c>
      <c r="U172" s="16">
        <v>898.817559939381</v>
      </c>
      <c r="V172" s="16">
        <v>0.36716403592294977</v>
      </c>
      <c r="W172" s="16">
        <v>1376.1166216112915</v>
      </c>
      <c r="X172" s="16">
        <v>0.56213914281507005</v>
      </c>
      <c r="Z172" s="16">
        <v>0.17</v>
      </c>
      <c r="AA172" s="35">
        <v>0.99326293226765827</v>
      </c>
      <c r="AB172" s="23">
        <v>2.7034724367772645E-2</v>
      </c>
      <c r="AC172" s="16">
        <v>4.0128325024833442</v>
      </c>
      <c r="AD172" s="16">
        <v>0.99999999271988993</v>
      </c>
    </row>
    <row r="173" spans="20:30" x14ac:dyDescent="0.4">
      <c r="T173" s="16">
        <v>0.17100000000000001</v>
      </c>
      <c r="U173" s="16">
        <v>898.81895079055835</v>
      </c>
      <c r="V173" s="16">
        <v>0.36716460408111046</v>
      </c>
      <c r="W173" s="16">
        <v>1376.1836216112915</v>
      </c>
      <c r="X173" s="16">
        <v>0.56216651209611579</v>
      </c>
      <c r="Z173" s="16">
        <v>0.17100000000000001</v>
      </c>
      <c r="AA173" s="35">
        <v>0.99310014094632904</v>
      </c>
      <c r="AB173" s="23">
        <v>2.7687978673053566E-2</v>
      </c>
      <c r="AC173" s="16">
        <v>4.0128325024730183</v>
      </c>
      <c r="AD173" s="16">
        <v>0.99999999400962858</v>
      </c>
    </row>
    <row r="174" spans="20:30" x14ac:dyDescent="0.4">
      <c r="T174" s="16">
        <v>0.17200000000000001</v>
      </c>
      <c r="U174" s="16">
        <v>898.82034164173547</v>
      </c>
      <c r="V174" s="16">
        <v>0.36716517223927103</v>
      </c>
      <c r="W174" s="16">
        <v>1376.2506216112915</v>
      </c>
      <c r="X174" s="16">
        <v>0.56219388137716153</v>
      </c>
      <c r="Z174" s="16">
        <v>0.17200000000000001</v>
      </c>
      <c r="AA174" s="35">
        <v>0.99293734962503166</v>
      </c>
      <c r="AB174" s="23">
        <v>2.8341232978334491E-2</v>
      </c>
      <c r="AC174" s="16">
        <v>4.0128325024812721</v>
      </c>
      <c r="AD174" s="16">
        <v>0.99999999507620851</v>
      </c>
    </row>
    <row r="175" spans="20:30" x14ac:dyDescent="0.4">
      <c r="T175" s="16">
        <v>0.17300000000000001</v>
      </c>
      <c r="U175" s="16">
        <v>898.82173249291259</v>
      </c>
      <c r="V175" s="16">
        <v>0.36716574039743161</v>
      </c>
      <c r="W175" s="16">
        <v>1376.3176216112915</v>
      </c>
      <c r="X175" s="16">
        <v>0.56222125065820738</v>
      </c>
      <c r="Z175" s="16">
        <v>0.17300000000000001</v>
      </c>
      <c r="AA175" s="35">
        <v>0.99277455830373429</v>
      </c>
      <c r="AB175" s="23">
        <v>2.8994487283618062E-2</v>
      </c>
      <c r="AC175" s="16">
        <v>4.0128325024895206</v>
      </c>
      <c r="AD175" s="16">
        <v>0.99999999595726263</v>
      </c>
    </row>
    <row r="176" spans="20:30" x14ac:dyDescent="0.4">
      <c r="T176" s="16">
        <v>0.17400000000000002</v>
      </c>
      <c r="U176" s="16">
        <v>898.82312334408994</v>
      </c>
      <c r="V176" s="16">
        <v>0.36716630855559229</v>
      </c>
      <c r="W176" s="16">
        <v>1376.3846216112915</v>
      </c>
      <c r="X176" s="16">
        <v>0.56224861993925312</v>
      </c>
      <c r="Z176" s="16">
        <v>0.17400000000000002</v>
      </c>
      <c r="AA176" s="35">
        <v>0.99261176698240505</v>
      </c>
      <c r="AB176" s="23">
        <v>2.9647741588898987E-2</v>
      </c>
      <c r="AC176" s="16">
        <v>4.0128325024797418</v>
      </c>
      <c r="AD176" s="16">
        <v>0.99999999668425399</v>
      </c>
    </row>
    <row r="177" spans="20:30" x14ac:dyDescent="0.4">
      <c r="T177" s="16">
        <v>0.17500000000000002</v>
      </c>
      <c r="U177" s="16">
        <v>898.82451419526706</v>
      </c>
      <c r="V177" s="16">
        <v>0.36716687671375287</v>
      </c>
      <c r="W177" s="16">
        <v>1376.4516216112913</v>
      </c>
      <c r="X177" s="16">
        <v>0.56227598922029876</v>
      </c>
      <c r="Z177" s="16">
        <v>0.17500000000000002</v>
      </c>
      <c r="AA177" s="35">
        <v>0.99244897566110768</v>
      </c>
      <c r="AB177" s="23">
        <v>3.0300995894177261E-2</v>
      </c>
      <c r="AC177" s="16">
        <v>4.0128325024869662</v>
      </c>
      <c r="AD177" s="16">
        <v>0.99999999728345623</v>
      </c>
    </row>
    <row r="178" spans="20:30" x14ac:dyDescent="0.4">
      <c r="T178" s="16">
        <v>0.17599999999999999</v>
      </c>
      <c r="U178" s="16">
        <v>898.8259050464444</v>
      </c>
      <c r="V178" s="16">
        <v>0.36716744487191355</v>
      </c>
      <c r="W178" s="16">
        <v>1376.5186216112913</v>
      </c>
      <c r="X178" s="16">
        <v>0.5623033585013445</v>
      </c>
      <c r="Z178" s="16">
        <v>0.17599999999999999</v>
      </c>
      <c r="AA178" s="35">
        <v>0.99228618433977844</v>
      </c>
      <c r="AB178" s="23">
        <v>3.0954250199458182E-2</v>
      </c>
      <c r="AC178" s="16">
        <v>4.0128325024776537</v>
      </c>
      <c r="AD178" s="16">
        <v>0.9999999977767835</v>
      </c>
    </row>
    <row r="179" spans="20:30" x14ac:dyDescent="0.4">
      <c r="T179" s="16">
        <v>0.17699999999999999</v>
      </c>
      <c r="U179" s="16">
        <v>898.82729589762153</v>
      </c>
      <c r="V179" s="16">
        <v>0.36716801303007413</v>
      </c>
      <c r="W179" s="16">
        <v>1376.5856216112913</v>
      </c>
      <c r="X179" s="16">
        <v>0.56233072778239024</v>
      </c>
      <c r="Z179" s="16">
        <v>0.17699999999999999</v>
      </c>
      <c r="AA179" s="35">
        <v>0.99212339301848107</v>
      </c>
      <c r="AB179" s="23">
        <v>3.1607504504739106E-2</v>
      </c>
      <c r="AC179" s="16">
        <v>4.0128325024849589</v>
      </c>
      <c r="AD179" s="16">
        <v>0.99999999818249219</v>
      </c>
    </row>
    <row r="180" spans="20:30" x14ac:dyDescent="0.4">
      <c r="T180" s="16">
        <v>0.17799999999999999</v>
      </c>
      <c r="U180" s="16">
        <v>898.82868674879865</v>
      </c>
      <c r="V180" s="16">
        <v>0.36716858118823475</v>
      </c>
      <c r="W180" s="16">
        <v>1376.6526216112914</v>
      </c>
      <c r="X180" s="16">
        <v>0.56235809706343598</v>
      </c>
      <c r="Z180" s="16">
        <v>0.17799999999999999</v>
      </c>
      <c r="AA180" s="35">
        <v>0.99196060169716782</v>
      </c>
      <c r="AB180" s="23">
        <v>3.2260758810020031E-2</v>
      </c>
      <c r="AC180" s="16">
        <v>4.0128325024840441</v>
      </c>
      <c r="AD180" s="16">
        <v>0.99999999851577337</v>
      </c>
    </row>
    <row r="181" spans="20:30" x14ac:dyDescent="0.4">
      <c r="T181" s="16">
        <v>0.17899999999999999</v>
      </c>
      <c r="U181" s="16">
        <v>898.83007759997599</v>
      </c>
      <c r="V181" s="16">
        <v>0.36716914934639544</v>
      </c>
      <c r="W181" s="16">
        <v>1376.7196216112914</v>
      </c>
      <c r="X181" s="16">
        <v>0.56238546634448172</v>
      </c>
      <c r="Z181" s="16">
        <v>0.17899999999999999</v>
      </c>
      <c r="AA181" s="35">
        <v>0.99179781037583858</v>
      </c>
      <c r="AB181" s="23">
        <v>3.2914013115300955E-2</v>
      </c>
      <c r="AC181" s="16">
        <v>4.0128325024753444</v>
      </c>
      <c r="AD181" s="16">
        <v>0.99999999878925305</v>
      </c>
    </row>
    <row r="182" spans="20:30" x14ac:dyDescent="0.4">
      <c r="T182" s="16">
        <v>0.18</v>
      </c>
      <c r="U182" s="16">
        <v>898.83146845115311</v>
      </c>
      <c r="V182" s="16">
        <v>0.36716971750455601</v>
      </c>
      <c r="W182" s="16">
        <v>1376.7866216112914</v>
      </c>
      <c r="X182" s="16">
        <v>0.56241283562552757</v>
      </c>
      <c r="Z182" s="16">
        <v>0.18</v>
      </c>
      <c r="AA182" s="35">
        <v>0.99163501905454121</v>
      </c>
      <c r="AB182" s="23">
        <v>3.3567267420584523E-2</v>
      </c>
      <c r="AC182" s="16">
        <v>4.0128325024825839</v>
      </c>
      <c r="AD182" s="16">
        <v>0.9999999990134123</v>
      </c>
    </row>
    <row r="183" spans="20:30" x14ac:dyDescent="0.4">
      <c r="T183" s="16">
        <v>0.18099999999999999</v>
      </c>
      <c r="U183" s="16">
        <v>898.83285930233023</v>
      </c>
      <c r="V183" s="16">
        <v>0.36717028566271659</v>
      </c>
      <c r="W183" s="16">
        <v>1376.8536216112914</v>
      </c>
      <c r="X183" s="16">
        <v>0.56244020490657332</v>
      </c>
      <c r="Z183" s="16">
        <v>0.18099999999999999</v>
      </c>
      <c r="AA183" s="35">
        <v>0.99147222773324384</v>
      </c>
      <c r="AB183" s="23">
        <v>3.4220521725865448E-2</v>
      </c>
      <c r="AC183" s="16">
        <v>4.0128325024892382</v>
      </c>
      <c r="AD183" s="16">
        <v>0.99999999919694182</v>
      </c>
    </row>
    <row r="184" spans="20:30" x14ac:dyDescent="0.4">
      <c r="T184" s="16">
        <v>0.182</v>
      </c>
      <c r="U184" s="16">
        <v>898.83425015350758</v>
      </c>
      <c r="V184" s="16">
        <v>0.36717085382087727</v>
      </c>
      <c r="W184" s="16">
        <v>1376.9206216112914</v>
      </c>
      <c r="X184" s="16">
        <v>0.56246757418761906</v>
      </c>
      <c r="Z184" s="16">
        <v>0.182</v>
      </c>
      <c r="AA184" s="35">
        <v>0.9913094364119146</v>
      </c>
      <c r="AB184" s="23">
        <v>3.4873776031146372E-2</v>
      </c>
      <c r="AC184" s="16">
        <v>4.0128325024809293</v>
      </c>
      <c r="AD184" s="16">
        <v>0.99999999934703898</v>
      </c>
    </row>
    <row r="185" spans="20:30" x14ac:dyDescent="0.4">
      <c r="T185" s="16">
        <v>0.183</v>
      </c>
      <c r="U185" s="16">
        <v>898.8356410046847</v>
      </c>
      <c r="V185" s="16">
        <v>0.36717142197903785</v>
      </c>
      <c r="W185" s="16">
        <v>1376.9876216112914</v>
      </c>
      <c r="X185" s="16">
        <v>0.5624949434686648</v>
      </c>
      <c r="Z185" s="16">
        <v>0.183</v>
      </c>
      <c r="AA185" s="35">
        <v>0.99114664509061723</v>
      </c>
      <c r="AB185" s="23">
        <v>3.5527030336427297E-2</v>
      </c>
      <c r="AC185" s="16">
        <v>4.0128325024873686</v>
      </c>
      <c r="AD185" s="16">
        <v>0.99999999946965767</v>
      </c>
    </row>
    <row r="186" spans="20:30" x14ac:dyDescent="0.4">
      <c r="T186" s="16">
        <v>0.184</v>
      </c>
      <c r="U186" s="16">
        <v>898.83703185586205</v>
      </c>
      <c r="V186" s="16">
        <v>0.36717199013719853</v>
      </c>
      <c r="W186" s="16">
        <v>1377.0546216112914</v>
      </c>
      <c r="X186" s="16">
        <v>0.56252231274971054</v>
      </c>
      <c r="Z186" s="16">
        <v>0.184</v>
      </c>
      <c r="AA186" s="35">
        <v>0.99098385376928799</v>
      </c>
      <c r="AB186" s="23">
        <v>3.6180284641708214E-2</v>
      </c>
      <c r="AC186" s="16">
        <v>4.0128325024793936</v>
      </c>
      <c r="AD186" s="16">
        <v>0.99999999956971719</v>
      </c>
    </row>
    <row r="187" spans="20:30" x14ac:dyDescent="0.4">
      <c r="T187" s="16">
        <v>0.185</v>
      </c>
      <c r="U187" s="16">
        <v>898.83842270703917</v>
      </c>
      <c r="V187" s="16">
        <v>0.36717255829535916</v>
      </c>
      <c r="W187" s="16">
        <v>1377.1216216112914</v>
      </c>
      <c r="X187" s="16">
        <v>0.56254968203075628</v>
      </c>
      <c r="Z187" s="16">
        <v>0.185</v>
      </c>
      <c r="AA187" s="35">
        <v>0.99082106244797474</v>
      </c>
      <c r="AB187" s="23">
        <v>3.6833538946989139E-2</v>
      </c>
      <c r="AC187" s="16">
        <v>4.0128325024786911</v>
      </c>
      <c r="AD187" s="16">
        <v>0.99999999965127717</v>
      </c>
    </row>
    <row r="188" spans="20:30" x14ac:dyDescent="0.4">
      <c r="T188" s="16">
        <v>0.186</v>
      </c>
      <c r="U188" s="16">
        <v>898.83981355821629</v>
      </c>
      <c r="V188" s="16">
        <v>0.36717312645351974</v>
      </c>
      <c r="W188" s="16">
        <v>1377.1886216112914</v>
      </c>
      <c r="X188" s="16">
        <v>0.56257705131180202</v>
      </c>
      <c r="Z188" s="16">
        <v>0.186</v>
      </c>
      <c r="AA188" s="35">
        <v>0.99065827112667737</v>
      </c>
      <c r="AB188" s="23">
        <v>3.7486793252270063E-2</v>
      </c>
      <c r="AC188" s="16">
        <v>4.0128325024848328</v>
      </c>
      <c r="AD188" s="16">
        <v>0.99999999971768416</v>
      </c>
    </row>
    <row r="189" spans="20:30" x14ac:dyDescent="0.4">
      <c r="T189" s="16">
        <v>0.187</v>
      </c>
      <c r="U189" s="16">
        <v>898.84120440939364</v>
      </c>
      <c r="V189" s="16">
        <v>0.36717369461168042</v>
      </c>
      <c r="W189" s="16">
        <v>1377.2556216112914</v>
      </c>
      <c r="X189" s="16">
        <v>0.56260442059284776</v>
      </c>
      <c r="Z189" s="16">
        <v>0.187</v>
      </c>
      <c r="AA189" s="35">
        <v>0.99049547980534813</v>
      </c>
      <c r="AB189" s="23">
        <v>3.8140047557550988E-2</v>
      </c>
      <c r="AC189" s="16">
        <v>4.0128325024773108</v>
      </c>
      <c r="AD189" s="16">
        <v>0.9999999997716934</v>
      </c>
    </row>
    <row r="190" spans="20:30" x14ac:dyDescent="0.4">
      <c r="T190" s="16">
        <v>0.188</v>
      </c>
      <c r="U190" s="16">
        <v>898.84259526057076</v>
      </c>
      <c r="V190" s="16">
        <v>0.367174262769841</v>
      </c>
      <c r="W190" s="16">
        <v>1377.3226216112914</v>
      </c>
      <c r="X190" s="16">
        <v>0.56263178987389351</v>
      </c>
      <c r="Z190" s="16">
        <v>0.188</v>
      </c>
      <c r="AA190" s="35">
        <v>0.99033268848405076</v>
      </c>
      <c r="AB190" s="23">
        <v>3.8793301862831912E-2</v>
      </c>
      <c r="AC190" s="16">
        <v>4.0128325024832687</v>
      </c>
      <c r="AD190" s="16">
        <v>0.99999999981557075</v>
      </c>
    </row>
    <row r="191" spans="20:30" x14ac:dyDescent="0.4">
      <c r="T191" s="16">
        <v>0.189</v>
      </c>
      <c r="U191" s="16">
        <v>898.84398611174811</v>
      </c>
      <c r="V191" s="16">
        <v>0.36717483092800168</v>
      </c>
      <c r="W191" s="16">
        <v>1377.3896216112914</v>
      </c>
      <c r="X191" s="16">
        <v>0.56265915915493936</v>
      </c>
      <c r="Z191" s="16">
        <v>0.189</v>
      </c>
      <c r="AA191" s="35">
        <v>0.99016989716272152</v>
      </c>
      <c r="AB191" s="23">
        <v>3.9446556168115481E-2</v>
      </c>
      <c r="AC191" s="16">
        <v>4.0128325024762912</v>
      </c>
      <c r="AD191" s="16">
        <v>0.99999999985117716</v>
      </c>
    </row>
    <row r="192" spans="20:30" x14ac:dyDescent="0.4">
      <c r="T192" s="16">
        <v>0.19</v>
      </c>
      <c r="U192" s="16">
        <v>898.84537696292523</v>
      </c>
      <c r="V192" s="16">
        <v>0.36717539908616226</v>
      </c>
      <c r="W192" s="16">
        <v>1377.4566216112914</v>
      </c>
      <c r="X192" s="16">
        <v>0.5626865284359851</v>
      </c>
      <c r="Z192" s="16">
        <v>0.19</v>
      </c>
      <c r="AA192" s="35">
        <v>0.99000710584142415</v>
      </c>
      <c r="AB192" s="23">
        <v>4.0099810473396405E-2</v>
      </c>
      <c r="AC192" s="16">
        <v>4.0128325024820723</v>
      </c>
      <c r="AD192" s="16">
        <v>0.99999999988003974</v>
      </c>
    </row>
    <row r="193" spans="20:30" x14ac:dyDescent="0.4">
      <c r="T193" s="16">
        <v>0.191</v>
      </c>
      <c r="U193" s="16">
        <v>898.84676781410235</v>
      </c>
      <c r="V193" s="16">
        <v>0.36717596724432283</v>
      </c>
      <c r="W193" s="16">
        <v>1377.5236216112914</v>
      </c>
      <c r="X193" s="16">
        <v>0.56271389771703084</v>
      </c>
      <c r="Z193" s="16">
        <v>0.191</v>
      </c>
      <c r="AA193" s="35">
        <v>0.98984431452012678</v>
      </c>
      <c r="AB193" s="23">
        <v>4.075306477867733E-2</v>
      </c>
      <c r="AC193" s="16">
        <v>4.012832502487667</v>
      </c>
      <c r="AD193" s="16">
        <v>0.99999999990340982</v>
      </c>
    </row>
    <row r="194" spans="20:30" x14ac:dyDescent="0.4">
      <c r="T194" s="16">
        <v>0.192</v>
      </c>
      <c r="U194" s="16">
        <v>898.8481586652797</v>
      </c>
      <c r="V194" s="16">
        <v>0.36717653540248352</v>
      </c>
      <c r="W194" s="16">
        <v>1377.5906216112915</v>
      </c>
      <c r="X194" s="16">
        <v>0.56274126699807658</v>
      </c>
      <c r="Z194" s="16">
        <v>0.192</v>
      </c>
      <c r="AA194" s="35">
        <v>0.98968152319879754</v>
      </c>
      <c r="AB194" s="23">
        <v>4.1406319083958254E-2</v>
      </c>
      <c r="AC194" s="16">
        <v>4.0128325024806948</v>
      </c>
      <c r="AD194" s="16">
        <v>0.99999999992231148</v>
      </c>
    </row>
    <row r="195" spans="20:30" x14ac:dyDescent="0.4">
      <c r="T195" s="16">
        <v>0.193</v>
      </c>
      <c r="U195" s="16">
        <v>898.84954951645682</v>
      </c>
      <c r="V195" s="16">
        <v>0.36717710356064415</v>
      </c>
      <c r="W195" s="16">
        <v>1377.6576216112915</v>
      </c>
      <c r="X195" s="16">
        <v>0.56276863627912233</v>
      </c>
      <c r="Z195" s="16">
        <v>0.193</v>
      </c>
      <c r="AA195" s="35">
        <v>0.98951873187748429</v>
      </c>
      <c r="AB195" s="23">
        <v>4.2059573389239178E-2</v>
      </c>
      <c r="AC195" s="16">
        <v>4.0128325024800588</v>
      </c>
      <c r="AD195" s="16">
        <v>0.99999999993758226</v>
      </c>
    </row>
    <row r="196" spans="20:30" x14ac:dyDescent="0.4">
      <c r="T196" s="16">
        <v>0.19400000000000001</v>
      </c>
      <c r="U196" s="16">
        <v>898.85094036763394</v>
      </c>
      <c r="V196" s="16">
        <v>0.36717767171880472</v>
      </c>
      <c r="W196" s="16">
        <v>1377.7246216112915</v>
      </c>
      <c r="X196" s="16">
        <v>0.56279600556016807</v>
      </c>
      <c r="Z196" s="16">
        <v>0.19400000000000001</v>
      </c>
      <c r="AA196" s="35">
        <v>0.98935594055618692</v>
      </c>
      <c r="AB196" s="23">
        <v>4.2712827694520096E-2</v>
      </c>
      <c r="AC196" s="16">
        <v>4.0128325024854279</v>
      </c>
      <c r="AD196" s="16">
        <v>0.99999999994990585</v>
      </c>
    </row>
    <row r="197" spans="20:30" x14ac:dyDescent="0.4">
      <c r="T197" s="16">
        <v>0.19500000000000001</v>
      </c>
      <c r="U197" s="16">
        <v>898.85233121881129</v>
      </c>
      <c r="V197" s="16">
        <v>0.36717823987696541</v>
      </c>
      <c r="W197" s="16">
        <v>1377.7916216112915</v>
      </c>
      <c r="X197" s="16">
        <v>0.56282337484121381</v>
      </c>
      <c r="Z197" s="16">
        <v>0.19500000000000001</v>
      </c>
      <c r="AA197" s="35">
        <v>0.98919314923485768</v>
      </c>
      <c r="AB197" s="23">
        <v>4.3366081999801021E-2</v>
      </c>
      <c r="AC197" s="16">
        <v>4.0128325024788039</v>
      </c>
      <c r="AD197" s="16">
        <v>0.99999999995984001</v>
      </c>
    </row>
    <row r="198" spans="20:30" x14ac:dyDescent="0.4">
      <c r="T198" s="16">
        <v>0.19600000000000001</v>
      </c>
      <c r="U198" s="16">
        <v>898.85372206998841</v>
      </c>
      <c r="V198" s="16">
        <v>0.36717880803512598</v>
      </c>
      <c r="W198" s="16">
        <v>1377.8586216112915</v>
      </c>
      <c r="X198" s="16">
        <v>0.56285074412225955</v>
      </c>
      <c r="Z198" s="16">
        <v>0.19600000000000001</v>
      </c>
      <c r="AA198" s="35">
        <v>0.98903035791356031</v>
      </c>
      <c r="AB198" s="23">
        <v>4.4019336305081945E-2</v>
      </c>
      <c r="AC198" s="16">
        <v>4.0128325024840326</v>
      </c>
      <c r="AD198" s="16">
        <v>0.99999999996783917</v>
      </c>
    </row>
    <row r="199" spans="20:30" x14ac:dyDescent="0.4">
      <c r="T199" s="16">
        <v>0.19700000000000001</v>
      </c>
      <c r="U199" s="16">
        <v>898.85511292116576</v>
      </c>
      <c r="V199" s="16">
        <v>0.36717937619328667</v>
      </c>
      <c r="W199" s="16">
        <v>1377.9256216112915</v>
      </c>
      <c r="X199" s="16">
        <v>0.5628781134033054</v>
      </c>
      <c r="Z199" s="16">
        <v>0.19700000000000001</v>
      </c>
      <c r="AA199" s="35">
        <v>0.98886756659223107</v>
      </c>
      <c r="AB199" s="23">
        <v>4.467259061036552E-2</v>
      </c>
      <c r="AC199" s="16">
        <v>4.0128325024778606</v>
      </c>
      <c r="AD199" s="16">
        <v>0.99999999997427302</v>
      </c>
    </row>
    <row r="200" spans="20:30" x14ac:dyDescent="0.4">
      <c r="T200" s="16">
        <v>0.19800000000000001</v>
      </c>
      <c r="U200" s="16">
        <v>898.85650377234288</v>
      </c>
      <c r="V200" s="16">
        <v>0.36717994435144724</v>
      </c>
      <c r="W200" s="16">
        <v>1377.9926216112915</v>
      </c>
      <c r="X200" s="16">
        <v>0.56290548268435114</v>
      </c>
      <c r="Z200" s="16">
        <v>0.19800000000000001</v>
      </c>
      <c r="AA200" s="35">
        <v>0.9887047752709337</v>
      </c>
      <c r="AB200" s="23">
        <v>4.5325844915646445E-2</v>
      </c>
      <c r="AC200" s="16">
        <v>4.0128325024829516</v>
      </c>
      <c r="AD200" s="16">
        <v>0.99999999997944211</v>
      </c>
    </row>
    <row r="201" spans="20:30" x14ac:dyDescent="0.4">
      <c r="T201" s="16">
        <v>0.19900000000000001</v>
      </c>
      <c r="U201" s="16">
        <v>898.85789462352</v>
      </c>
      <c r="V201" s="16">
        <v>0.36718051250960781</v>
      </c>
      <c r="W201" s="16">
        <v>1378.0596216112915</v>
      </c>
      <c r="X201" s="16">
        <v>0.56293285196539689</v>
      </c>
      <c r="Z201" s="16">
        <v>0.19900000000000001</v>
      </c>
      <c r="AA201" s="35">
        <v>0.98854198394963633</v>
      </c>
      <c r="AB201" s="23">
        <v>4.5979099220927362E-2</v>
      </c>
      <c r="AC201" s="16">
        <v>4.0128325024878979</v>
      </c>
      <c r="AD201" s="16">
        <v>0.99999999998359057</v>
      </c>
    </row>
    <row r="202" spans="20:30" x14ac:dyDescent="0.4">
      <c r="T202" s="16">
        <v>0.2</v>
      </c>
      <c r="U202" s="16">
        <v>898.85928547469734</v>
      </c>
      <c r="V202" s="16">
        <v>0.3671810806677685</v>
      </c>
      <c r="W202" s="16">
        <v>1378.1266216112915</v>
      </c>
      <c r="X202" s="16">
        <v>0.56296022124644263</v>
      </c>
      <c r="Z202" s="16">
        <v>0.2</v>
      </c>
      <c r="AA202" s="35">
        <v>0.98837919262830709</v>
      </c>
      <c r="AB202" s="23">
        <v>4.6632353526208287E-2</v>
      </c>
      <c r="AC202" s="16">
        <v>4.0128325024817038</v>
      </c>
      <c r="AD202" s="16">
        <v>0.99999999998691602</v>
      </c>
    </row>
    <row r="203" spans="20:30" x14ac:dyDescent="0.4">
      <c r="T203" s="16">
        <v>0.20100000000000001</v>
      </c>
      <c r="U203" s="16">
        <v>898.86067632587446</v>
      </c>
      <c r="V203" s="16">
        <v>0.36718164882592913</v>
      </c>
      <c r="W203" s="16">
        <v>1378.1936216112915</v>
      </c>
      <c r="X203" s="16">
        <v>0.56298759052748837</v>
      </c>
      <c r="Z203" s="16">
        <v>0.20100000000000001</v>
      </c>
      <c r="AA203" s="35">
        <v>0.98821640130699384</v>
      </c>
      <c r="AB203" s="23">
        <v>4.7285607831489211E-2</v>
      </c>
      <c r="AC203" s="16">
        <v>4.0128325024811247</v>
      </c>
      <c r="AD203" s="16">
        <v>0.999999999989579</v>
      </c>
    </row>
    <row r="204" spans="20:30" x14ac:dyDescent="0.4">
      <c r="T204" s="16">
        <v>0.20200000000000001</v>
      </c>
      <c r="U204" s="16">
        <v>898.86206717705159</v>
      </c>
      <c r="V204" s="16">
        <v>0.3671822169840897</v>
      </c>
      <c r="W204" s="16">
        <v>1378.2606216112915</v>
      </c>
      <c r="X204" s="16">
        <v>0.56301495980853411</v>
      </c>
      <c r="Z204" s="16">
        <v>0.20200000000000001</v>
      </c>
      <c r="AA204" s="35">
        <v>0.98805360998569647</v>
      </c>
      <c r="AB204" s="23">
        <v>4.7938862136770136E-2</v>
      </c>
      <c r="AC204" s="16">
        <v>4.0128325024858942</v>
      </c>
      <c r="AD204" s="16">
        <v>0.99999999999170897</v>
      </c>
    </row>
    <row r="205" spans="20:30" x14ac:dyDescent="0.4">
      <c r="T205" s="16">
        <v>0.20300000000000001</v>
      </c>
      <c r="U205" s="16">
        <v>898.86345802822893</v>
      </c>
      <c r="V205" s="16">
        <v>0.36718278514225039</v>
      </c>
      <c r="W205" s="16">
        <v>1378.3276216112915</v>
      </c>
      <c r="X205" s="16">
        <v>0.56304232908957985</v>
      </c>
      <c r="Z205" s="16">
        <v>0.20300000000000001</v>
      </c>
      <c r="AA205" s="35">
        <v>0.98789081866436723</v>
      </c>
      <c r="AB205" s="23">
        <v>4.859211644205106E-2</v>
      </c>
      <c r="AC205" s="16">
        <v>4.0128325024799762</v>
      </c>
      <c r="AD205" s="16">
        <v>0.99999999999341083</v>
      </c>
    </row>
    <row r="206" spans="20:30" x14ac:dyDescent="0.4">
      <c r="T206" s="16">
        <v>0.20400000000000001</v>
      </c>
      <c r="U206" s="16">
        <v>898.86484887940605</v>
      </c>
      <c r="V206" s="16">
        <v>0.36718335330041096</v>
      </c>
      <c r="W206" s="16">
        <v>1378.3946216112915</v>
      </c>
      <c r="X206" s="16">
        <v>0.56306969837062559</v>
      </c>
      <c r="Z206" s="16">
        <v>0.20400000000000001</v>
      </c>
      <c r="AA206" s="35">
        <v>0.98772802734306986</v>
      </c>
      <c r="AB206" s="23">
        <v>4.9245370747331978E-2</v>
      </c>
      <c r="AC206" s="16">
        <v>4.0128325024846339</v>
      </c>
      <c r="AD206" s="16">
        <v>0.99999999999476907</v>
      </c>
    </row>
    <row r="207" spans="20:30" x14ac:dyDescent="0.4">
      <c r="T207" s="16">
        <v>0.20500000000000002</v>
      </c>
      <c r="U207" s="16">
        <v>898.8662397305834</v>
      </c>
      <c r="V207" s="16">
        <v>0.36718392145857165</v>
      </c>
      <c r="W207" s="16">
        <v>1378.4616216112915</v>
      </c>
      <c r="X207" s="16">
        <v>0.56309706765167133</v>
      </c>
      <c r="Z207" s="16">
        <v>0.20500000000000002</v>
      </c>
      <c r="AA207" s="35">
        <v>0.98756523602174062</v>
      </c>
      <c r="AB207" s="23">
        <v>4.9898625052612902E-2</v>
      </c>
      <c r="AC207" s="16">
        <v>4.0128325024788873</v>
      </c>
      <c r="AD207" s="16">
        <v>0.99999999999585176</v>
      </c>
    </row>
    <row r="208" spans="20:30" x14ac:dyDescent="0.4">
      <c r="T208" s="16">
        <v>0.20600000000000002</v>
      </c>
      <c r="U208" s="16">
        <v>898.86763058176052</v>
      </c>
      <c r="V208" s="16">
        <v>0.36718448961673222</v>
      </c>
      <c r="W208" s="16">
        <v>1378.5286216112916</v>
      </c>
      <c r="X208" s="16">
        <v>0.56312443693271719</v>
      </c>
      <c r="Z208" s="16">
        <v>0.20600000000000002</v>
      </c>
      <c r="AA208" s="35">
        <v>0.98740244470044325</v>
      </c>
      <c r="AB208" s="23">
        <v>5.0551879357896477E-2</v>
      </c>
      <c r="AC208" s="16">
        <v>4.0128325024836498</v>
      </c>
      <c r="AD208" s="16">
        <v>0.99999999999671407</v>
      </c>
    </row>
    <row r="209" spans="20:30" x14ac:dyDescent="0.4">
      <c r="T209" s="16">
        <v>0.20700000000000002</v>
      </c>
      <c r="U209" s="16">
        <v>898.86902143293764</v>
      </c>
      <c r="V209" s="16">
        <v>0.36718505777489285</v>
      </c>
      <c r="W209" s="16">
        <v>1378.5956216112913</v>
      </c>
      <c r="X209" s="16">
        <v>0.56315180621376282</v>
      </c>
      <c r="Z209" s="16">
        <v>0.20700000000000002</v>
      </c>
      <c r="AA209" s="35">
        <v>0.98723965337913</v>
      </c>
      <c r="AB209" s="23">
        <v>5.1205133663174751E-2</v>
      </c>
      <c r="AC209" s="16">
        <v>4.0128325024828824</v>
      </c>
      <c r="AD209" s="16">
        <v>0.99999999999739986</v>
      </c>
    </row>
    <row r="210" spans="20:30" x14ac:dyDescent="0.4">
      <c r="T210" s="16">
        <v>0.20800000000000002</v>
      </c>
      <c r="U210" s="16">
        <v>898.87041228411499</v>
      </c>
      <c r="V210" s="16">
        <v>0.36718562593305348</v>
      </c>
      <c r="W210" s="16">
        <v>1378.6626216112913</v>
      </c>
      <c r="X210" s="16">
        <v>0.56317917549480856</v>
      </c>
      <c r="Z210" s="16">
        <v>0.20800000000000002</v>
      </c>
      <c r="AA210" s="35">
        <v>0.98707686205781664</v>
      </c>
      <c r="AB210" s="23">
        <v>5.1858387968455676E-2</v>
      </c>
      <c r="AC210" s="16">
        <v>4.0128325024823051</v>
      </c>
      <c r="AD210" s="16">
        <v>0.99999999999794476</v>
      </c>
    </row>
    <row r="211" spans="20:30" x14ac:dyDescent="0.4">
      <c r="T211" s="16">
        <v>0.20899999999999999</v>
      </c>
      <c r="U211" s="16">
        <v>898.87180313529211</v>
      </c>
      <c r="V211" s="16">
        <v>0.36718619409121411</v>
      </c>
      <c r="W211" s="16">
        <v>1378.7296216112913</v>
      </c>
      <c r="X211" s="16">
        <v>0.5632065447758543</v>
      </c>
      <c r="Z211" s="16">
        <v>0.20899999999999999</v>
      </c>
      <c r="AA211" s="35">
        <v>0.98691407073650339</v>
      </c>
      <c r="AB211" s="23">
        <v>5.2511642273736593E-2</v>
      </c>
      <c r="AC211" s="16">
        <v>4.0128325024817748</v>
      </c>
      <c r="AD211" s="16">
        <v>0.9999999999983773</v>
      </c>
    </row>
    <row r="212" spans="20:30" x14ac:dyDescent="0.4">
      <c r="T212" s="16">
        <v>0.21</v>
      </c>
      <c r="U212" s="16">
        <v>898.87319398646946</v>
      </c>
      <c r="V212" s="16">
        <v>0.3671867622493748</v>
      </c>
      <c r="W212" s="16">
        <v>1378.7966216112914</v>
      </c>
      <c r="X212" s="16">
        <v>0.56323391405690004</v>
      </c>
      <c r="Z212" s="16">
        <v>0.21</v>
      </c>
      <c r="AA212" s="35">
        <v>0.98675127941517415</v>
      </c>
      <c r="AB212" s="23">
        <v>5.3164896579017518E-2</v>
      </c>
      <c r="AC212" s="16">
        <v>4.0128325024764173</v>
      </c>
      <c r="AD212" s="16">
        <v>0.99999999999872013</v>
      </c>
    </row>
    <row r="213" spans="20:30" x14ac:dyDescent="0.4">
      <c r="T213" s="16">
        <v>0.21099999999999999</v>
      </c>
      <c r="U213" s="16">
        <v>898.87458483764658</v>
      </c>
      <c r="V213" s="16">
        <v>0.36718733040753537</v>
      </c>
      <c r="W213" s="16">
        <v>1378.8636216112914</v>
      </c>
      <c r="X213" s="16">
        <v>0.56326128333794578</v>
      </c>
      <c r="Z213" s="16">
        <v>0.21099999999999999</v>
      </c>
      <c r="AA213" s="35">
        <v>0.98658848809387678</v>
      </c>
      <c r="AB213" s="23">
        <v>5.3818150884298442E-2</v>
      </c>
      <c r="AC213" s="16">
        <v>4.0128325024807223</v>
      </c>
      <c r="AD213" s="16">
        <v>0.9999999999989917</v>
      </c>
    </row>
    <row r="214" spans="20:30" x14ac:dyDescent="0.4">
      <c r="T214" s="16">
        <v>0.21199999999999999</v>
      </c>
      <c r="U214" s="16">
        <v>898.8759756888237</v>
      </c>
      <c r="V214" s="16">
        <v>0.36718789856569595</v>
      </c>
      <c r="W214" s="16">
        <v>1378.9306216112914</v>
      </c>
      <c r="X214" s="16">
        <v>0.56328865261899153</v>
      </c>
      <c r="Z214" s="16">
        <v>0.21199999999999999</v>
      </c>
      <c r="AA214" s="35">
        <v>0.98642569677257941</v>
      </c>
      <c r="AB214" s="23">
        <v>5.4471405189579367E-2</v>
      </c>
      <c r="AC214" s="16">
        <v>4.0128325024849252</v>
      </c>
      <c r="AD214" s="16">
        <v>0.99999999999920652</v>
      </c>
    </row>
    <row r="215" spans="20:30" x14ac:dyDescent="0.4">
      <c r="T215" s="16">
        <v>0.21299999999999999</v>
      </c>
      <c r="U215" s="16">
        <v>898.87736654000105</v>
      </c>
      <c r="V215" s="16">
        <v>0.36718846672385663</v>
      </c>
      <c r="W215" s="16">
        <v>1378.9976216112914</v>
      </c>
      <c r="X215" s="16">
        <v>0.56331602190003738</v>
      </c>
      <c r="Z215" s="16">
        <v>0.21299999999999999</v>
      </c>
      <c r="AA215" s="35">
        <v>0.98626290545125017</v>
      </c>
      <c r="AB215" s="23">
        <v>5.5124659494862935E-2</v>
      </c>
      <c r="AC215" s="16">
        <v>4.0128325024799123</v>
      </c>
      <c r="AD215" s="16">
        <v>0.99999999999937617</v>
      </c>
    </row>
    <row r="216" spans="20:30" x14ac:dyDescent="0.4">
      <c r="T216" s="16">
        <v>0.214</v>
      </c>
      <c r="U216" s="16">
        <v>898.87875739117817</v>
      </c>
      <c r="V216" s="16">
        <v>0.36718903488201721</v>
      </c>
      <c r="W216" s="16">
        <v>1379.0646216112914</v>
      </c>
      <c r="X216" s="16">
        <v>0.56334339118108312</v>
      </c>
      <c r="Z216" s="16">
        <v>0.214</v>
      </c>
      <c r="AA216" s="35">
        <v>0.9861001141299528</v>
      </c>
      <c r="AB216" s="23">
        <v>5.5777913800143859E-2</v>
      </c>
      <c r="AC216" s="16">
        <v>4.0128325024840255</v>
      </c>
      <c r="AD216" s="16">
        <v>0.99999999999951017</v>
      </c>
    </row>
    <row r="217" spans="20:30" x14ac:dyDescent="0.4">
      <c r="T217" s="16">
        <v>0.215</v>
      </c>
      <c r="U217" s="16">
        <v>898.88014824235529</v>
      </c>
      <c r="V217" s="16">
        <v>0.36718960304017784</v>
      </c>
      <c r="W217" s="16">
        <v>1379.1316216112914</v>
      </c>
      <c r="X217" s="16">
        <v>0.56337076046212886</v>
      </c>
      <c r="Z217" s="16">
        <v>0.215</v>
      </c>
      <c r="AA217" s="35">
        <v>0.98593732280863955</v>
      </c>
      <c r="AB217" s="23">
        <v>5.6431168105424784E-2</v>
      </c>
      <c r="AC217" s="16">
        <v>4.012832502483513</v>
      </c>
      <c r="AD217" s="16">
        <v>0.99999999999961575</v>
      </c>
    </row>
    <row r="218" spans="20:30" x14ac:dyDescent="0.4">
      <c r="T218" s="16">
        <v>0.216</v>
      </c>
      <c r="U218" s="16">
        <v>898.88153909353264</v>
      </c>
      <c r="V218" s="16">
        <v>0.36719017119833852</v>
      </c>
      <c r="W218" s="16">
        <v>1379.1986216112914</v>
      </c>
      <c r="X218" s="16">
        <v>0.5633981297431746</v>
      </c>
      <c r="Z218" s="16">
        <v>0.216</v>
      </c>
      <c r="AA218" s="35">
        <v>0.98577453148731031</v>
      </c>
      <c r="AB218" s="23">
        <v>5.7084422410705708E-2</v>
      </c>
      <c r="AC218" s="16">
        <v>4.0128325024785028</v>
      </c>
      <c r="AD218" s="16">
        <v>0.99999999999969891</v>
      </c>
    </row>
    <row r="219" spans="20:30" x14ac:dyDescent="0.4">
      <c r="T219" s="16">
        <v>0.217</v>
      </c>
      <c r="U219" s="16">
        <v>898.88292994470976</v>
      </c>
      <c r="V219" s="16">
        <v>0.3671907393564991</v>
      </c>
      <c r="W219" s="16">
        <v>1379.2656216112914</v>
      </c>
      <c r="X219" s="16">
        <v>0.56342549902422034</v>
      </c>
      <c r="Z219" s="16">
        <v>0.217</v>
      </c>
      <c r="AA219" s="35">
        <v>0.98561174016601294</v>
      </c>
      <c r="AB219" s="23">
        <v>5.7737676715986633E-2</v>
      </c>
      <c r="AC219" s="16">
        <v>4.0128325024824925</v>
      </c>
      <c r="AD219" s="16">
        <v>0.99999999999976441</v>
      </c>
    </row>
    <row r="220" spans="20:30" x14ac:dyDescent="0.4">
      <c r="T220" s="16">
        <v>0.218</v>
      </c>
      <c r="U220" s="16">
        <v>898.88432079588711</v>
      </c>
      <c r="V220" s="16">
        <v>0.36719130751465978</v>
      </c>
      <c r="W220" s="16">
        <v>1379.3326216112914</v>
      </c>
      <c r="X220" s="16">
        <v>0.56345286830526609</v>
      </c>
      <c r="Z220" s="16">
        <v>0.218</v>
      </c>
      <c r="AA220" s="35">
        <v>0.9854489488446837</v>
      </c>
      <c r="AB220" s="23">
        <v>5.839093102126755E-2</v>
      </c>
      <c r="AC220" s="16">
        <v>4.0128325024776057</v>
      </c>
      <c r="AD220" s="16">
        <v>0.99999999999981581</v>
      </c>
    </row>
    <row r="221" spans="20:30" x14ac:dyDescent="0.4">
      <c r="T221" s="16">
        <v>0.219</v>
      </c>
      <c r="U221" s="16">
        <v>898.88571164706423</v>
      </c>
      <c r="V221" s="16">
        <v>0.36719187567282036</v>
      </c>
      <c r="W221" s="16">
        <v>1379.3996216112914</v>
      </c>
      <c r="X221" s="16">
        <v>0.56348023758631183</v>
      </c>
      <c r="Z221" s="16">
        <v>0.219</v>
      </c>
      <c r="AA221" s="35">
        <v>0.98528615752338633</v>
      </c>
      <c r="AB221" s="23">
        <v>5.9044185326548475E-2</v>
      </c>
      <c r="AC221" s="16">
        <v>4.0128325024815172</v>
      </c>
      <c r="AD221" s="16">
        <v>0.99999999999985612</v>
      </c>
    </row>
    <row r="222" spans="20:30" x14ac:dyDescent="0.4">
      <c r="T222" s="16">
        <v>0.22</v>
      </c>
      <c r="U222" s="16">
        <v>898.88710249824135</v>
      </c>
      <c r="V222" s="16">
        <v>0.36719244383098093</v>
      </c>
      <c r="W222" s="16">
        <v>1379.4666216112914</v>
      </c>
      <c r="X222" s="16">
        <v>0.56350760686735757</v>
      </c>
      <c r="Z222" s="16">
        <v>0.22</v>
      </c>
      <c r="AA222" s="35">
        <v>0.98512336620208896</v>
      </c>
      <c r="AB222" s="23">
        <v>5.9697439631829399E-2</v>
      </c>
      <c r="AC222" s="16">
        <v>4.0128325024853426</v>
      </c>
      <c r="AD222" s="16">
        <v>0.99999999999988776</v>
      </c>
    </row>
    <row r="223" spans="20:30" x14ac:dyDescent="0.4">
      <c r="T223" s="16">
        <v>0.221</v>
      </c>
      <c r="U223" s="16">
        <v>898.8884933494187</v>
      </c>
      <c r="V223" s="16">
        <v>0.36719301198914162</v>
      </c>
      <c r="W223" s="16">
        <v>1379.5336216112914</v>
      </c>
      <c r="X223" s="16">
        <v>0.56353497614840331</v>
      </c>
      <c r="Z223" s="16">
        <v>0.221</v>
      </c>
      <c r="AA223" s="35">
        <v>0.98496057488075972</v>
      </c>
      <c r="AB223" s="23">
        <v>6.0350693937110324E-2</v>
      </c>
      <c r="AC223" s="16">
        <v>4.0128325024805838</v>
      </c>
      <c r="AD223" s="16">
        <v>0.99999999999991251</v>
      </c>
    </row>
    <row r="224" spans="20:30" x14ac:dyDescent="0.4">
      <c r="T224" s="16">
        <v>0.222</v>
      </c>
      <c r="U224" s="16">
        <v>898.88988420059582</v>
      </c>
      <c r="V224" s="16">
        <v>0.36719358014730219</v>
      </c>
      <c r="W224" s="16">
        <v>1379.6006216112914</v>
      </c>
      <c r="X224" s="16">
        <v>0.56356234542944916</v>
      </c>
      <c r="Z224" s="16">
        <v>0.222</v>
      </c>
      <c r="AA224" s="35">
        <v>0.98479778355946235</v>
      </c>
      <c r="AB224" s="23">
        <v>6.1003948242393899E-2</v>
      </c>
      <c r="AC224" s="16">
        <v>4.0128325024845122</v>
      </c>
      <c r="AD224" s="16">
        <v>0.99999999999993194</v>
      </c>
    </row>
    <row r="225" spans="20:30" x14ac:dyDescent="0.4">
      <c r="T225" s="16">
        <v>0.223</v>
      </c>
      <c r="U225" s="16">
        <v>898.89127505177294</v>
      </c>
      <c r="V225" s="16">
        <v>0.36719414830546282</v>
      </c>
      <c r="W225" s="16">
        <v>1379.6676216112915</v>
      </c>
      <c r="X225" s="16">
        <v>0.5635897147104949</v>
      </c>
      <c r="Z225" s="16">
        <v>0.223</v>
      </c>
      <c r="AA225" s="35">
        <v>0.98463499223814899</v>
      </c>
      <c r="AB225" s="23">
        <v>6.1657202547674816E-2</v>
      </c>
      <c r="AC225" s="16">
        <v>4.0128325024840086</v>
      </c>
      <c r="AD225" s="16">
        <v>0.99999999999994704</v>
      </c>
    </row>
    <row r="226" spans="20:30" x14ac:dyDescent="0.4">
      <c r="T226" s="16">
        <v>0.224</v>
      </c>
      <c r="U226" s="16">
        <v>898.89373556074247</v>
      </c>
      <c r="V226" s="16">
        <v>0.36719515341533598</v>
      </c>
      <c r="W226" s="16">
        <v>1379.7512890483843</v>
      </c>
      <c r="X226" s="16">
        <v>0.56362389258512424</v>
      </c>
      <c r="Z226" s="16">
        <v>0.224</v>
      </c>
      <c r="AA226" s="35">
        <v>0.98434700347787829</v>
      </c>
      <c r="AB226" s="23">
        <v>6.247296543562398E-2</v>
      </c>
      <c r="AC226" s="16">
        <v>3.9911185917235472</v>
      </c>
      <c r="AD226" s="16">
        <v>0.99999999999995892</v>
      </c>
    </row>
    <row r="227" spans="20:30" x14ac:dyDescent="0.4">
      <c r="T227" s="16">
        <v>0.22500000000000001</v>
      </c>
      <c r="U227" s="16">
        <v>898.89910535497734</v>
      </c>
      <c r="V227" s="16">
        <v>0.36719734695873257</v>
      </c>
      <c r="W227" s="16">
        <v>1379.8802890483842</v>
      </c>
      <c r="X227" s="16">
        <v>0.56367658866355563</v>
      </c>
      <c r="Z227" s="16">
        <v>0.22500000000000001</v>
      </c>
      <c r="AA227" s="35">
        <v>0.98371849921157861</v>
      </c>
      <c r="AB227" s="23">
        <v>6.3730723724897118E-2</v>
      </c>
      <c r="AC227" s="16">
        <v>3.9143027754676836</v>
      </c>
      <c r="AD227" s="16">
        <v>0.99999999999996814</v>
      </c>
    </row>
    <row r="228" spans="20:30" x14ac:dyDescent="0.4">
      <c r="T228" s="16">
        <v>0.22600000000000001</v>
      </c>
      <c r="U228" s="16">
        <v>898.90447514921243</v>
      </c>
      <c r="V228" s="16">
        <v>0.36719954050212927</v>
      </c>
      <c r="W228" s="16">
        <v>1380.0092890483841</v>
      </c>
      <c r="X228" s="16">
        <v>0.56372928474198691</v>
      </c>
      <c r="Z228" s="16">
        <v>0.22600000000000001</v>
      </c>
      <c r="AA228" s="35">
        <v>0.98308999494524718</v>
      </c>
      <c r="AB228" s="23">
        <v>6.4988482014167598E-2</v>
      </c>
      <c r="AC228" s="16">
        <v>3.8431970779276363</v>
      </c>
      <c r="AD228" s="16">
        <v>0.99999999999997524</v>
      </c>
    </row>
    <row r="229" spans="20:30" x14ac:dyDescent="0.4">
      <c r="T229" s="16">
        <v>0.22700000000000001</v>
      </c>
      <c r="U229" s="16">
        <v>898.90984494344752</v>
      </c>
      <c r="V229" s="16">
        <v>0.36720173404552597</v>
      </c>
      <c r="W229" s="16">
        <v>1380.1382890483842</v>
      </c>
      <c r="X229" s="16">
        <v>0.56378198082041842</v>
      </c>
      <c r="Z229" s="16">
        <v>0.22700000000000001</v>
      </c>
      <c r="AA229" s="35">
        <v>0.98246149067891575</v>
      </c>
      <c r="AB229" s="23">
        <v>6.6246240303443379E-2</v>
      </c>
      <c r="AC229" s="16">
        <v>3.7771876212879856</v>
      </c>
      <c r="AD229" s="16">
        <v>0.9999999999999809</v>
      </c>
    </row>
    <row r="230" spans="20:30" x14ac:dyDescent="0.4">
      <c r="T230" s="16">
        <v>0.22800000000000001</v>
      </c>
      <c r="U230" s="16">
        <v>898.91521473768262</v>
      </c>
      <c r="V230" s="16">
        <v>0.36720392758892262</v>
      </c>
      <c r="W230" s="16">
        <v>1380.2672890483841</v>
      </c>
      <c r="X230" s="16">
        <v>0.5638346768988497</v>
      </c>
      <c r="Z230" s="16">
        <v>0.22800000000000001</v>
      </c>
      <c r="AA230" s="35">
        <v>0.98183298641260019</v>
      </c>
      <c r="AB230" s="23">
        <v>6.7503998592713874E-2</v>
      </c>
      <c r="AC230" s="16">
        <v>3.7157454783615615</v>
      </c>
      <c r="AD230" s="16">
        <v>0.99999999999998523</v>
      </c>
    </row>
    <row r="231" spans="20:30" x14ac:dyDescent="0.4">
      <c r="T231" s="16">
        <v>0.22900000000000001</v>
      </c>
      <c r="U231" s="16">
        <v>898.92058453191771</v>
      </c>
      <c r="V231" s="16">
        <v>0.36720612113231932</v>
      </c>
      <c r="W231" s="16">
        <v>1380.3962890483842</v>
      </c>
      <c r="X231" s="16">
        <v>0.56388737297728109</v>
      </c>
      <c r="Z231" s="16">
        <v>0.22900000000000001</v>
      </c>
      <c r="AA231" s="35">
        <v>0.98120448214626876</v>
      </c>
      <c r="AB231" s="23">
        <v>6.8761756881987005E-2</v>
      </c>
      <c r="AC231" s="16">
        <v>3.6584124692439164</v>
      </c>
      <c r="AD231" s="16">
        <v>0.99999999999998856</v>
      </c>
    </row>
    <row r="232" spans="20:30" x14ac:dyDescent="0.4">
      <c r="T232" s="16">
        <v>0.23</v>
      </c>
      <c r="U232" s="16">
        <v>898.92595432615281</v>
      </c>
      <c r="V232" s="16">
        <v>0.36720831467571602</v>
      </c>
      <c r="W232" s="16">
        <v>1380.5252890483841</v>
      </c>
      <c r="X232" s="16">
        <v>0.56394006905571248</v>
      </c>
      <c r="Z232" s="16">
        <v>0.23</v>
      </c>
      <c r="AA232" s="35">
        <v>0.98057597787993733</v>
      </c>
      <c r="AB232" s="23">
        <v>7.0019515171260135E-2</v>
      </c>
      <c r="AC232" s="16">
        <v>3.6047897154595208</v>
      </c>
      <c r="AD232" s="16">
        <v>0.99999999999999123</v>
      </c>
    </row>
    <row r="233" spans="20:30" x14ac:dyDescent="0.4">
      <c r="T233" s="16">
        <v>0.23100000000000001</v>
      </c>
      <c r="U233" s="16">
        <v>898.93132412038767</v>
      </c>
      <c r="V233" s="16">
        <v>0.36721050821911261</v>
      </c>
      <c r="W233" s="16">
        <v>1380.654289048384</v>
      </c>
      <c r="X233" s="16">
        <v>0.56399276513414376</v>
      </c>
      <c r="Z233" s="16">
        <v>0.23100000000000001</v>
      </c>
      <c r="AA233" s="35">
        <v>0.97994747361363765</v>
      </c>
      <c r="AB233" s="23">
        <v>7.127727346053063E-2</v>
      </c>
      <c r="AC233" s="16">
        <v>3.5545283465631572</v>
      </c>
      <c r="AD233" s="16">
        <v>0.99999999999999323</v>
      </c>
    </row>
    <row r="234" spans="20:30" x14ac:dyDescent="0.4">
      <c r="T234" s="16">
        <v>0.23200000000000001</v>
      </c>
      <c r="U234" s="16">
        <v>898.93669391462277</v>
      </c>
      <c r="V234" s="16">
        <v>0.36721270176250931</v>
      </c>
      <c r="W234" s="16">
        <v>1380.7832890483842</v>
      </c>
      <c r="X234" s="16">
        <v>0.56404546121257526</v>
      </c>
      <c r="Z234" s="16">
        <v>0.23200000000000001</v>
      </c>
      <c r="AA234" s="35">
        <v>0.97931896934730622</v>
      </c>
      <c r="AB234" s="23">
        <v>7.2535031749806411E-2</v>
      </c>
      <c r="AC234" s="16">
        <v>3.5073219013075865</v>
      </c>
      <c r="AD234" s="16">
        <v>0.99999999999999478</v>
      </c>
    </row>
    <row r="235" spans="20:30" x14ac:dyDescent="0.4">
      <c r="T235" s="16">
        <v>0.23300000000000001</v>
      </c>
      <c r="U235" s="16">
        <v>898.94206370885786</v>
      </c>
      <c r="V235" s="16">
        <v>0.36721489530590601</v>
      </c>
      <c r="W235" s="16">
        <v>1380.9122890483841</v>
      </c>
      <c r="X235" s="16">
        <v>0.56409815729100654</v>
      </c>
      <c r="Z235" s="16">
        <v>0.23300000000000001</v>
      </c>
      <c r="AA235" s="35">
        <v>0.97869046508097479</v>
      </c>
      <c r="AB235" s="23">
        <v>7.3792790039076891E-2</v>
      </c>
      <c r="AC235" s="16">
        <v>3.4629000735813569</v>
      </c>
      <c r="AD235" s="16">
        <v>0.999999999999996</v>
      </c>
    </row>
    <row r="236" spans="20:30" x14ac:dyDescent="0.4">
      <c r="T236" s="16">
        <v>0.23400000000000001</v>
      </c>
      <c r="U236" s="16">
        <v>898.94743350309295</v>
      </c>
      <c r="V236" s="16">
        <v>0.36721708884930265</v>
      </c>
      <c r="W236" s="16">
        <v>1381.0412890483842</v>
      </c>
      <c r="X236" s="16">
        <v>0.56415085336943804</v>
      </c>
      <c r="Z236" s="16">
        <v>0.23400000000000001</v>
      </c>
      <c r="AA236" s="35">
        <v>0.97806196081465924</v>
      </c>
      <c r="AB236" s="23">
        <v>7.5050548328352673E-2</v>
      </c>
      <c r="AC236" s="16">
        <v>3.4210235333384884</v>
      </c>
      <c r="AD236" s="16">
        <v>0.99999999999999689</v>
      </c>
    </row>
    <row r="237" spans="20:30" x14ac:dyDescent="0.4">
      <c r="T237" s="16">
        <v>0.23500000000000001</v>
      </c>
      <c r="U237" s="16">
        <v>898.95280329732805</v>
      </c>
      <c r="V237" s="16">
        <v>0.36721928239269935</v>
      </c>
      <c r="W237" s="16">
        <v>1381.1702890483841</v>
      </c>
      <c r="X237" s="16">
        <v>0.56420354944786932</v>
      </c>
      <c r="Z237" s="16">
        <v>0.23500000000000001</v>
      </c>
      <c r="AA237" s="35">
        <v>0.97743345654832769</v>
      </c>
      <c r="AB237" s="23">
        <v>7.6308306617623167E-2</v>
      </c>
      <c r="AC237" s="16">
        <v>3.3814796129962166</v>
      </c>
      <c r="AD237" s="16">
        <v>0.99999999999999767</v>
      </c>
    </row>
    <row r="238" spans="20:30" x14ac:dyDescent="0.4">
      <c r="T238" s="16">
        <v>0.23600000000000002</v>
      </c>
      <c r="U238" s="16">
        <v>898.95817309156291</v>
      </c>
      <c r="V238" s="16">
        <v>0.36722147593609594</v>
      </c>
      <c r="W238" s="16">
        <v>1381.2992890483843</v>
      </c>
      <c r="X238" s="16">
        <v>0.56425624552630071</v>
      </c>
      <c r="Z238" s="16">
        <v>0.23600000000000002</v>
      </c>
      <c r="AA238" s="35">
        <v>0.97680495228202813</v>
      </c>
      <c r="AB238" s="23">
        <v>7.7566064906896298E-2</v>
      </c>
      <c r="AC238" s="16">
        <v>3.344078695160301</v>
      </c>
      <c r="AD238" s="16">
        <v>0.99999999999999822</v>
      </c>
    </row>
    <row r="239" spans="20:30" x14ac:dyDescent="0.4">
      <c r="T239" s="16">
        <v>0.23700000000000002</v>
      </c>
      <c r="U239" s="16">
        <v>898.96354288579801</v>
      </c>
      <c r="V239" s="16">
        <v>0.36722366947949264</v>
      </c>
      <c r="W239" s="16">
        <v>1381.4282890483842</v>
      </c>
      <c r="X239" s="16">
        <v>0.56430894160473211</v>
      </c>
      <c r="Z239" s="16">
        <v>0.23700000000000002</v>
      </c>
      <c r="AA239" s="35">
        <v>0.9761764480156967</v>
      </c>
      <c r="AB239" s="23">
        <v>7.8823823196169429E-2</v>
      </c>
      <c r="AC239" s="16">
        <v>3.3086511720882057</v>
      </c>
      <c r="AD239" s="16">
        <v>0.99999999999999856</v>
      </c>
    </row>
    <row r="240" spans="20:30" x14ac:dyDescent="0.4">
      <c r="T240" s="16">
        <v>0.23800000000000002</v>
      </c>
      <c r="U240" s="16">
        <v>898.9689126800331</v>
      </c>
      <c r="V240" s="16">
        <v>0.36722586302288934</v>
      </c>
      <c r="W240" s="16">
        <v>1381.5572890483841</v>
      </c>
      <c r="X240" s="16">
        <v>0.56436163768316339</v>
      </c>
      <c r="Z240" s="16">
        <v>0.23800000000000002</v>
      </c>
      <c r="AA240" s="35">
        <v>0.97554794374936515</v>
      </c>
      <c r="AB240" s="23">
        <v>8.0081581485439923E-2</v>
      </c>
      <c r="AC240" s="16">
        <v>3.2750448741242679</v>
      </c>
      <c r="AD240" s="16">
        <v>0.99999999999999889</v>
      </c>
    </row>
    <row r="241" spans="20:30" x14ac:dyDescent="0.4">
      <c r="T241" s="16">
        <v>0.23900000000000002</v>
      </c>
      <c r="U241" s="16">
        <v>898.97428247426819</v>
      </c>
      <c r="V241" s="16">
        <v>0.36722805656628604</v>
      </c>
      <c r="W241" s="16">
        <v>1381.6862890483842</v>
      </c>
      <c r="X241" s="16">
        <v>0.56441433376159489</v>
      </c>
      <c r="Z241" s="16">
        <v>0.23900000000000002</v>
      </c>
      <c r="AA241" s="35">
        <v>0.97491943948303372</v>
      </c>
      <c r="AB241" s="23">
        <v>8.1339339774715705E-2</v>
      </c>
      <c r="AC241" s="16">
        <v>3.2431228847414308</v>
      </c>
      <c r="AD241" s="16">
        <v>0.99999999999999922</v>
      </c>
    </row>
    <row r="242" spans="20:30" x14ac:dyDescent="0.4">
      <c r="T242" s="16">
        <v>0.24</v>
      </c>
      <c r="U242" s="16">
        <v>898.97965226850329</v>
      </c>
      <c r="V242" s="16">
        <v>0.36723025010968269</v>
      </c>
      <c r="W242" s="16">
        <v>1381.8152890483841</v>
      </c>
      <c r="X242" s="16">
        <v>0.56446702984002617</v>
      </c>
      <c r="Z242" s="16">
        <v>0.24</v>
      </c>
      <c r="AA242" s="35">
        <v>0.97429093521671817</v>
      </c>
      <c r="AB242" s="23">
        <v>8.2597098063986185E-2</v>
      </c>
      <c r="AC242" s="16">
        <v>3.2127616760955719</v>
      </c>
      <c r="AD242" s="16">
        <v>0.99999999999999933</v>
      </c>
    </row>
    <row r="243" spans="20:30" x14ac:dyDescent="0.4">
      <c r="T243" s="16">
        <v>0.24099999999999999</v>
      </c>
      <c r="U243" s="16">
        <v>898.98502206273838</v>
      </c>
      <c r="V243" s="16">
        <v>0.36723244365307939</v>
      </c>
      <c r="W243" s="16">
        <v>1381.9442890483842</v>
      </c>
      <c r="X243" s="16">
        <v>0.56451972591845756</v>
      </c>
      <c r="Z243" s="16">
        <v>0.24099999999999999</v>
      </c>
      <c r="AA243" s="35">
        <v>0.97366243095038674</v>
      </c>
      <c r="AB243" s="23">
        <v>8.3854856353259316E-2</v>
      </c>
      <c r="AC243" s="16">
        <v>3.183849511520906</v>
      </c>
      <c r="AD243" s="16">
        <v>0.99999999999999956</v>
      </c>
    </row>
    <row r="244" spans="20:30" x14ac:dyDescent="0.4">
      <c r="T244" s="16">
        <v>0.24199999999999999</v>
      </c>
      <c r="U244" s="16">
        <v>898.99039185697325</v>
      </c>
      <c r="V244" s="16">
        <v>0.36723463719647598</v>
      </c>
      <c r="W244" s="16">
        <v>1382.0732890483841</v>
      </c>
      <c r="X244" s="16">
        <v>0.56457242199688895</v>
      </c>
      <c r="Z244" s="16">
        <v>0.24199999999999999</v>
      </c>
      <c r="AA244" s="35">
        <v>0.97303392668408706</v>
      </c>
      <c r="AB244" s="23">
        <v>8.5112614642532461E-2</v>
      </c>
      <c r="AC244" s="16">
        <v>3.1562850714459296</v>
      </c>
      <c r="AD244" s="16">
        <v>0.99999999999999967</v>
      </c>
    </row>
    <row r="245" spans="20:30" x14ac:dyDescent="0.4">
      <c r="T245" s="16">
        <v>0.24299999999999999</v>
      </c>
      <c r="U245" s="16">
        <v>898.99576165120834</v>
      </c>
      <c r="V245" s="16">
        <v>0.36723683073987268</v>
      </c>
      <c r="W245" s="16">
        <v>1382.202289048384</v>
      </c>
      <c r="X245" s="16">
        <v>0.56462511807532023</v>
      </c>
      <c r="Z245" s="16">
        <v>0.24299999999999999</v>
      </c>
      <c r="AA245" s="35">
        <v>0.97240542241775563</v>
      </c>
      <c r="AB245" s="23">
        <v>8.6370372931802941E-2</v>
      </c>
      <c r="AC245" s="16">
        <v>3.1299762670539168</v>
      </c>
      <c r="AD245" s="16">
        <v>0.99999999999999978</v>
      </c>
    </row>
    <row r="246" spans="20:30" x14ac:dyDescent="0.4">
      <c r="T246" s="16">
        <v>0.24399999999999999</v>
      </c>
      <c r="U246" s="16">
        <v>899.00113144544343</v>
      </c>
      <c r="V246" s="16">
        <v>0.36723902428326938</v>
      </c>
      <c r="W246" s="16">
        <v>1382.3312890483842</v>
      </c>
      <c r="X246" s="16">
        <v>0.56467781415375173</v>
      </c>
      <c r="Z246" s="16">
        <v>0.24399999999999999</v>
      </c>
      <c r="AA246" s="35">
        <v>0.9717769181514242</v>
      </c>
      <c r="AB246" s="23">
        <v>8.7628131221078723E-2</v>
      </c>
      <c r="AC246" s="16">
        <v>3.1048392125008353</v>
      </c>
      <c r="AD246" s="16">
        <v>0.99999999999999978</v>
      </c>
    </row>
    <row r="247" spans="20:30" x14ac:dyDescent="0.4">
      <c r="T247" s="16">
        <v>0.245</v>
      </c>
      <c r="U247" s="16">
        <v>899.00650123967853</v>
      </c>
      <c r="V247" s="16">
        <v>0.36724121782666608</v>
      </c>
      <c r="W247" s="16">
        <v>1382.4602890483841</v>
      </c>
      <c r="X247" s="16">
        <v>0.56473051023218301</v>
      </c>
      <c r="Z247" s="16">
        <v>0.245</v>
      </c>
      <c r="AA247" s="35">
        <v>0.97114841388509276</v>
      </c>
      <c r="AB247" s="23">
        <v>8.8885889510349217E-2</v>
      </c>
      <c r="AC247" s="16">
        <v>3.0807973314306989</v>
      </c>
      <c r="AD247" s="16">
        <v>0.99999999999999989</v>
      </c>
    </row>
    <row r="248" spans="20:30" x14ac:dyDescent="0.4">
      <c r="T248" s="16">
        <v>0.246</v>
      </c>
      <c r="U248" s="16">
        <v>899.01187103391362</v>
      </c>
      <c r="V248" s="16">
        <v>0.36724341137006278</v>
      </c>
      <c r="W248" s="16">
        <v>1382.5892890483842</v>
      </c>
      <c r="X248" s="16">
        <v>0.56478320631061452</v>
      </c>
      <c r="Z248" s="16">
        <v>0.246</v>
      </c>
      <c r="AA248" s="35">
        <v>0.97051990961876133</v>
      </c>
      <c r="AB248" s="23">
        <v>9.0143647799624999E-2</v>
      </c>
      <c r="AC248" s="16">
        <v>3.0577805778028768</v>
      </c>
      <c r="AD248" s="16">
        <v>0.99999999999999989</v>
      </c>
    </row>
    <row r="249" spans="20:30" x14ac:dyDescent="0.4">
      <c r="T249" s="16">
        <v>0.247</v>
      </c>
      <c r="U249" s="16">
        <v>899.01724082814872</v>
      </c>
      <c r="V249" s="16">
        <v>0.36724560491345942</v>
      </c>
      <c r="W249" s="16">
        <v>1382.7182890483841</v>
      </c>
      <c r="X249" s="16">
        <v>0.5648359023890458</v>
      </c>
      <c r="Z249" s="16">
        <v>0.247</v>
      </c>
      <c r="AA249" s="35">
        <v>0.96989140535244578</v>
      </c>
      <c r="AB249" s="23">
        <v>9.1401406088895479E-2</v>
      </c>
      <c r="AC249" s="16">
        <v>3.0357247543043391</v>
      </c>
      <c r="AD249" s="16">
        <v>0.99999999999999989</v>
      </c>
    </row>
    <row r="250" spans="20:30" x14ac:dyDescent="0.4">
      <c r="T250" s="16">
        <v>0.248</v>
      </c>
      <c r="U250" s="16">
        <v>899.02261062238358</v>
      </c>
      <c r="V250" s="16">
        <v>0.36724779845685601</v>
      </c>
      <c r="W250" s="16">
        <v>1382.8472890483843</v>
      </c>
      <c r="X250" s="16">
        <v>0.56488859846747719</v>
      </c>
      <c r="Z250" s="16">
        <v>0.248</v>
      </c>
      <c r="AA250" s="35">
        <v>0.9692629010861461</v>
      </c>
      <c r="AB250" s="23">
        <v>9.265916437816861E-2</v>
      </c>
      <c r="AC250" s="16">
        <v>3.0145709143814172</v>
      </c>
      <c r="AD250" s="16">
        <v>0.99999999999999989</v>
      </c>
    </row>
    <row r="251" spans="20:30" x14ac:dyDescent="0.4">
      <c r="T251" s="16">
        <v>0.249</v>
      </c>
      <c r="U251" s="16">
        <v>899.02798041661868</v>
      </c>
      <c r="V251" s="16">
        <v>0.36724999200025271</v>
      </c>
      <c r="W251" s="16">
        <v>1382.9762890483842</v>
      </c>
      <c r="X251" s="16">
        <v>0.56494129454590858</v>
      </c>
      <c r="Z251" s="16">
        <v>0.249</v>
      </c>
      <c r="AA251" s="35">
        <v>0.96863439681981467</v>
      </c>
      <c r="AB251" s="23">
        <v>9.3916922667441755E-2</v>
      </c>
      <c r="AC251" s="16">
        <v>2.9942648361620581</v>
      </c>
      <c r="AD251" s="16">
        <v>1</v>
      </c>
    </row>
    <row r="252" spans="20:30" x14ac:dyDescent="0.4">
      <c r="T252" s="16">
        <v>0.25</v>
      </c>
      <c r="U252" s="16">
        <v>899.03335021085377</v>
      </c>
      <c r="V252" s="16">
        <v>0.36725218554364941</v>
      </c>
      <c r="W252" s="16">
        <v>1383.1052890483841</v>
      </c>
      <c r="X252" s="16">
        <v>0.56499399062433986</v>
      </c>
      <c r="Z252" s="16">
        <v>0.25</v>
      </c>
      <c r="AA252" s="35">
        <v>0.96800589255348324</v>
      </c>
      <c r="AB252" s="23">
        <v>9.5174680956712235E-2</v>
      </c>
      <c r="AC252" s="16">
        <v>2.9747565584010069</v>
      </c>
      <c r="AD252" s="16">
        <v>1</v>
      </c>
    </row>
    <row r="253" spans="20:30" x14ac:dyDescent="0.4">
      <c r="T253" s="16">
        <v>0.251</v>
      </c>
      <c r="U253" s="16">
        <v>899.03872000508886</v>
      </c>
      <c r="V253" s="16">
        <v>0.36725437908704611</v>
      </c>
      <c r="W253" s="16">
        <v>1383.2342890483842</v>
      </c>
      <c r="X253" s="16">
        <v>0.56504668670277136</v>
      </c>
      <c r="Z253" s="16">
        <v>0.251</v>
      </c>
      <c r="AA253" s="35">
        <v>0.9673773882871517</v>
      </c>
      <c r="AB253" s="23">
        <v>9.6432439245988016E-2</v>
      </c>
      <c r="AC253" s="16">
        <v>2.9559999700455752</v>
      </c>
      <c r="AD253" s="16">
        <v>1</v>
      </c>
    </row>
    <row r="254" spans="20:30" x14ac:dyDescent="0.4">
      <c r="T254" s="16">
        <v>0.252</v>
      </c>
      <c r="U254" s="16">
        <v>899.04408979932396</v>
      </c>
      <c r="V254" s="16">
        <v>0.36725657263044281</v>
      </c>
      <c r="W254" s="16">
        <v>1383.3632890483841</v>
      </c>
      <c r="X254" s="16">
        <v>0.56509938278120264</v>
      </c>
      <c r="Z254" s="16">
        <v>0.252</v>
      </c>
      <c r="AA254" s="35">
        <v>0.96674888402082026</v>
      </c>
      <c r="AB254" s="23">
        <v>9.7690197535258511E-2</v>
      </c>
      <c r="AC254" s="16">
        <v>2.9379524463608218</v>
      </c>
      <c r="AD254" s="16">
        <v>1</v>
      </c>
    </row>
    <row r="255" spans="20:30" x14ac:dyDescent="0.4">
      <c r="T255" s="16">
        <v>0.253</v>
      </c>
      <c r="U255" s="16">
        <v>899.04945959355882</v>
      </c>
      <c r="V255" s="16">
        <v>0.3672587661738394</v>
      </c>
      <c r="W255" s="16">
        <v>1383.4922890483842</v>
      </c>
      <c r="X255" s="16">
        <v>0.56515207885963403</v>
      </c>
      <c r="Z255" s="16">
        <v>0.253</v>
      </c>
      <c r="AA255" s="35">
        <v>0.9661203797545207</v>
      </c>
      <c r="AB255" s="23">
        <v>9.8947955824531642E-2</v>
      </c>
      <c r="AC255" s="16">
        <v>2.9205745255581688</v>
      </c>
      <c r="AD255" s="16">
        <v>1</v>
      </c>
    </row>
    <row r="256" spans="20:30" x14ac:dyDescent="0.4">
      <c r="T256" s="16">
        <v>0.254</v>
      </c>
      <c r="U256" s="16">
        <v>899.05482938779392</v>
      </c>
      <c r="V256" s="16">
        <v>0.3672609597172361</v>
      </c>
      <c r="W256" s="16">
        <v>1383.6212890483841</v>
      </c>
      <c r="X256" s="16">
        <v>0.56520477493806542</v>
      </c>
      <c r="Z256" s="16">
        <v>0.254</v>
      </c>
      <c r="AA256" s="35">
        <v>0.96549187548818916</v>
      </c>
      <c r="AB256" s="23">
        <v>0.10020571411380477</v>
      </c>
      <c r="AC256" s="16">
        <v>2.9038296207465026</v>
      </c>
      <c r="AD256" s="16">
        <v>1</v>
      </c>
    </row>
    <row r="257" spans="20:30" x14ac:dyDescent="0.4">
      <c r="T257" s="16">
        <v>0.255</v>
      </c>
      <c r="U257" s="16">
        <v>899.06019918202901</v>
      </c>
      <c r="V257" s="16">
        <v>0.36726315326063275</v>
      </c>
      <c r="W257" s="16">
        <v>1383.750289048384</v>
      </c>
      <c r="X257" s="16">
        <v>0.5652574710164967</v>
      </c>
      <c r="Z257" s="16">
        <v>0.255</v>
      </c>
      <c r="AA257" s="35">
        <v>0.9648633712218736</v>
      </c>
      <c r="AB257" s="23">
        <v>0.10146347240307525</v>
      </c>
      <c r="AC257" s="16">
        <v>2.8876837628269931</v>
      </c>
      <c r="AD257" s="16">
        <v>1</v>
      </c>
    </row>
    <row r="258" spans="20:30" x14ac:dyDescent="0.4">
      <c r="T258" s="16">
        <v>0.25600000000000001</v>
      </c>
      <c r="U258" s="16">
        <v>899.0655689762641</v>
      </c>
      <c r="V258" s="16">
        <v>0.36726534680402945</v>
      </c>
      <c r="W258" s="16">
        <v>1383.8792890483842</v>
      </c>
      <c r="X258" s="16">
        <v>0.56531016709492821</v>
      </c>
      <c r="Z258" s="16">
        <v>0.25600000000000001</v>
      </c>
      <c r="AA258" s="35">
        <v>0.96423486695554217</v>
      </c>
      <c r="AB258" s="23">
        <v>0.10272123069235105</v>
      </c>
      <c r="AC258" s="16">
        <v>2.8721053704641184</v>
      </c>
      <c r="AD258" s="16">
        <v>1</v>
      </c>
    </row>
    <row r="259" spans="20:30" x14ac:dyDescent="0.4">
      <c r="T259" s="16">
        <v>0.25700000000000001</v>
      </c>
      <c r="U259" s="16">
        <v>899.0709387704992</v>
      </c>
      <c r="V259" s="16">
        <v>0.36726754034742615</v>
      </c>
      <c r="W259" s="16">
        <v>1384.0082890483841</v>
      </c>
      <c r="X259" s="16">
        <v>0.56536286317335949</v>
      </c>
      <c r="Z259" s="16">
        <v>0.25700000000000001</v>
      </c>
      <c r="AA259" s="35">
        <v>0.96360636268921074</v>
      </c>
      <c r="AB259" s="23">
        <v>0.10397898898162153</v>
      </c>
      <c r="AC259" s="16">
        <v>2.8570650439162315</v>
      </c>
      <c r="AD259" s="16">
        <v>1</v>
      </c>
    </row>
    <row r="260" spans="20:30" x14ac:dyDescent="0.4">
      <c r="T260" s="16">
        <v>0.25800000000000001</v>
      </c>
      <c r="U260" s="16">
        <v>899.07630856473406</v>
      </c>
      <c r="V260" s="16">
        <v>0.36726973389082274</v>
      </c>
      <c r="W260" s="16">
        <v>1384.1372890483842</v>
      </c>
      <c r="X260" s="16">
        <v>0.56541555925179099</v>
      </c>
      <c r="Z260" s="16">
        <v>0.25800000000000001</v>
      </c>
      <c r="AA260" s="35">
        <v>0.96297785842291106</v>
      </c>
      <c r="AB260" s="23">
        <v>0.10523674727089731</v>
      </c>
      <c r="AC260" s="16">
        <v>2.842535379855573</v>
      </c>
      <c r="AD260" s="16">
        <v>1</v>
      </c>
    </row>
    <row r="261" spans="20:30" x14ac:dyDescent="0.4">
      <c r="T261" s="16">
        <v>0.25900000000000001</v>
      </c>
      <c r="U261" s="16">
        <v>899.08167835896916</v>
      </c>
      <c r="V261" s="16">
        <v>0.36727192743421944</v>
      </c>
      <c r="W261" s="16">
        <v>1384.2662890483841</v>
      </c>
      <c r="X261" s="16">
        <v>0.56546825533022227</v>
      </c>
      <c r="Z261" s="16">
        <v>0.25900000000000001</v>
      </c>
      <c r="AA261" s="35">
        <v>0.96234935415657963</v>
      </c>
      <c r="AB261" s="23">
        <v>0.1064945055601678</v>
      </c>
      <c r="AC261" s="16">
        <v>2.8284908047275428</v>
      </c>
      <c r="AD261" s="16">
        <v>1</v>
      </c>
    </row>
    <row r="262" spans="20:30" x14ac:dyDescent="0.4">
      <c r="T262" s="16">
        <v>0.26</v>
      </c>
      <c r="U262" s="16">
        <v>899.08704815320425</v>
      </c>
      <c r="V262" s="16">
        <v>0.36727412097761614</v>
      </c>
      <c r="W262" s="16">
        <v>1384.3952890483843</v>
      </c>
      <c r="X262" s="16">
        <v>0.56552095140865366</v>
      </c>
      <c r="Z262" s="16">
        <v>0.26</v>
      </c>
      <c r="AA262" s="35">
        <v>0.9617208498902482</v>
      </c>
      <c r="AB262" s="23">
        <v>0.10775226384944094</v>
      </c>
      <c r="AC262" s="16">
        <v>2.8149074245509573</v>
      </c>
      <c r="AD262" s="16">
        <v>1</v>
      </c>
    </row>
    <row r="263" spans="20:30" x14ac:dyDescent="0.4">
      <c r="T263" s="16">
        <v>0.26100000000000001</v>
      </c>
      <c r="U263" s="16">
        <v>899.09241794743934</v>
      </c>
      <c r="V263" s="16">
        <v>0.36727631452101278</v>
      </c>
      <c r="W263" s="16">
        <v>1384.5242890483842</v>
      </c>
      <c r="X263" s="16">
        <v>0.56557364748708505</v>
      </c>
      <c r="Z263" s="16">
        <v>0.26100000000000001</v>
      </c>
      <c r="AA263" s="35">
        <v>0.96109234562393264</v>
      </c>
      <c r="AB263" s="23">
        <v>0.10901002213871407</v>
      </c>
      <c r="AC263" s="16">
        <v>2.8017628892521378</v>
      </c>
      <c r="AD263" s="16">
        <v>1</v>
      </c>
    </row>
    <row r="264" spans="20:30" x14ac:dyDescent="0.4">
      <c r="T264" s="16">
        <v>0.26200000000000001</v>
      </c>
      <c r="U264" s="16">
        <v>899.09778774167444</v>
      </c>
      <c r="V264" s="16">
        <v>0.36727850806440948</v>
      </c>
      <c r="W264" s="16">
        <v>1384.6532890483841</v>
      </c>
      <c r="X264" s="16">
        <v>0.56562634356551633</v>
      </c>
      <c r="Z264" s="16">
        <v>0.26200000000000001</v>
      </c>
      <c r="AA264" s="35">
        <v>0.96046384135760121</v>
      </c>
      <c r="AB264" s="23">
        <v>0.11026778042798455</v>
      </c>
      <c r="AC264" s="16">
        <v>2.7890362699458815</v>
      </c>
      <c r="AD264" s="16">
        <v>1</v>
      </c>
    </row>
    <row r="265" spans="20:30" x14ac:dyDescent="0.4">
      <c r="T265" s="16">
        <v>0.26300000000000001</v>
      </c>
      <c r="U265" s="16">
        <v>899.10315753590953</v>
      </c>
      <c r="V265" s="16">
        <v>0.36728070160780618</v>
      </c>
      <c r="W265" s="16">
        <v>1384.7822890483842</v>
      </c>
      <c r="X265" s="16">
        <v>0.56567903964394783</v>
      </c>
      <c r="Z265" s="16">
        <v>0.26300000000000001</v>
      </c>
      <c r="AA265" s="35">
        <v>0.95983533709126978</v>
      </c>
      <c r="AB265" s="23">
        <v>0.11152553871726034</v>
      </c>
      <c r="AC265" s="16">
        <v>2.7767079477472492</v>
      </c>
      <c r="AD265" s="16">
        <v>1</v>
      </c>
    </row>
    <row r="266" spans="20:30" x14ac:dyDescent="0.4">
      <c r="T266" s="16">
        <v>0.26400000000000001</v>
      </c>
      <c r="U266" s="16">
        <v>899.10852733014463</v>
      </c>
      <c r="V266" s="16">
        <v>0.36728289515120288</v>
      </c>
      <c r="W266" s="16">
        <v>1384.9112890483841</v>
      </c>
      <c r="X266" s="16">
        <v>0.56573173572237911</v>
      </c>
      <c r="Z266" s="16">
        <v>0.26400000000000001</v>
      </c>
      <c r="AA266" s="35">
        <v>0.95920683282493824</v>
      </c>
      <c r="AB266" s="23">
        <v>0.11278329700653082</v>
      </c>
      <c r="AC266" s="16">
        <v>2.7647595128499622</v>
      </c>
      <c r="AD266" s="16">
        <v>1</v>
      </c>
    </row>
    <row r="267" spans="20:30" x14ac:dyDescent="0.4">
      <c r="T267" s="16">
        <v>0.26500000000000001</v>
      </c>
      <c r="U267" s="16">
        <v>899.11389712437949</v>
      </c>
      <c r="V267" s="16">
        <v>0.36728508869459947</v>
      </c>
      <c r="W267" s="16">
        <v>1385.0402890483842</v>
      </c>
      <c r="X267" s="16">
        <v>0.56578443180081051</v>
      </c>
      <c r="Z267" s="16">
        <v>0.26500000000000001</v>
      </c>
      <c r="AA267" s="35">
        <v>0.95857832855863867</v>
      </c>
      <c r="AB267" s="23">
        <v>0.11404105529580395</v>
      </c>
      <c r="AC267" s="16">
        <v>2.7531736728018421</v>
      </c>
      <c r="AD267" s="16">
        <v>1</v>
      </c>
    </row>
    <row r="268" spans="20:30" x14ac:dyDescent="0.4">
      <c r="T268" s="16">
        <v>0.26600000000000001</v>
      </c>
      <c r="U268" s="16">
        <v>899.11926691861458</v>
      </c>
      <c r="V268" s="16">
        <v>0.36728728223799617</v>
      </c>
      <c r="W268" s="16">
        <v>1385.1692890483841</v>
      </c>
      <c r="X268" s="16">
        <v>0.5658371278792419</v>
      </c>
      <c r="Z268" s="16">
        <v>0.26600000000000001</v>
      </c>
      <c r="AA268" s="35">
        <v>0.95794982429230713</v>
      </c>
      <c r="AB268" s="23">
        <v>0.1152988135850771</v>
      </c>
      <c r="AC268" s="16">
        <v>2.7419341689928718</v>
      </c>
      <c r="AD268" s="16">
        <v>1</v>
      </c>
    </row>
    <row r="269" spans="20:30" x14ac:dyDescent="0.4">
      <c r="T269" s="16">
        <v>0.26700000000000002</v>
      </c>
      <c r="U269" s="16">
        <v>899.12463671284968</v>
      </c>
      <c r="V269" s="16">
        <v>0.36728947578139282</v>
      </c>
      <c r="W269" s="16">
        <v>1385.298289048384</v>
      </c>
      <c r="X269" s="16">
        <v>0.56588982395767318</v>
      </c>
      <c r="Z269" s="16">
        <v>0.26700000000000002</v>
      </c>
      <c r="AA269" s="35">
        <v>0.95732132002599168</v>
      </c>
      <c r="AB269" s="23">
        <v>0.11655657187434758</v>
      </c>
      <c r="AC269" s="16">
        <v>2.7310257005448983</v>
      </c>
      <c r="AD269" s="16">
        <v>1</v>
      </c>
    </row>
    <row r="270" spans="20:30" x14ac:dyDescent="0.4">
      <c r="T270" s="16">
        <v>0.26800000000000002</v>
      </c>
      <c r="U270" s="16">
        <v>899.13000650708477</v>
      </c>
      <c r="V270" s="16">
        <v>0.36729166932478952</v>
      </c>
      <c r="W270" s="16">
        <v>1385.4272890483842</v>
      </c>
      <c r="X270" s="16">
        <v>0.56594252003610468</v>
      </c>
      <c r="Z270" s="16">
        <v>0.26800000000000002</v>
      </c>
      <c r="AA270" s="35">
        <v>0.95669281575966014</v>
      </c>
      <c r="AB270" s="23">
        <v>0.11781433016362336</v>
      </c>
      <c r="AC270" s="16">
        <v>2.7204338548032743</v>
      </c>
      <c r="AD270" s="16">
        <v>1</v>
      </c>
    </row>
    <row r="271" spans="20:30" x14ac:dyDescent="0.4">
      <c r="T271" s="16">
        <v>0.26900000000000002</v>
      </c>
      <c r="U271" s="16">
        <v>899.13537630131987</v>
      </c>
      <c r="V271" s="16">
        <v>0.36729386286818622</v>
      </c>
      <c r="W271" s="16">
        <v>1385.5562890483841</v>
      </c>
      <c r="X271" s="16">
        <v>0.56599521611453596</v>
      </c>
      <c r="Z271" s="16">
        <v>0.26900000000000002</v>
      </c>
      <c r="AA271" s="35">
        <v>0.95606431149332871</v>
      </c>
      <c r="AB271" s="23">
        <v>0.11907208845289384</v>
      </c>
      <c r="AC271" s="16">
        <v>2.7101450438136112</v>
      </c>
      <c r="AD271" s="16">
        <v>1</v>
      </c>
    </row>
    <row r="272" spans="20:30" x14ac:dyDescent="0.4">
      <c r="T272" s="16">
        <v>0.27</v>
      </c>
      <c r="U272" s="16">
        <v>899.14074609555473</v>
      </c>
      <c r="V272" s="16">
        <v>0.36729605641158281</v>
      </c>
      <c r="W272" s="16">
        <v>1385.6852890483842</v>
      </c>
      <c r="X272" s="16">
        <v>0.56604791219296746</v>
      </c>
      <c r="Z272" s="16">
        <v>0.27</v>
      </c>
      <c r="AA272" s="35">
        <v>0.95543580722702903</v>
      </c>
      <c r="AB272" s="23">
        <v>0.12032984674216964</v>
      </c>
      <c r="AC272" s="16">
        <v>2.700146446165451</v>
      </c>
      <c r="AD272" s="16">
        <v>1</v>
      </c>
    </row>
    <row r="273" spans="20:30" x14ac:dyDescent="0.4">
      <c r="T273" s="16">
        <v>0.27100000000000002</v>
      </c>
      <c r="U273" s="16">
        <v>899.14611588978983</v>
      </c>
      <c r="V273" s="16">
        <v>0.36729824995497951</v>
      </c>
      <c r="W273" s="16">
        <v>1385.8142890483841</v>
      </c>
      <c r="X273" s="16">
        <v>0.56610060827139874</v>
      </c>
      <c r="Z273" s="16">
        <v>0.27100000000000002</v>
      </c>
      <c r="AA273" s="35">
        <v>0.9548073029606976</v>
      </c>
      <c r="AB273" s="23">
        <v>0.12158760503144012</v>
      </c>
      <c r="AC273" s="16">
        <v>2.6904259536822934</v>
      </c>
      <c r="AD273" s="16">
        <v>1</v>
      </c>
    </row>
    <row r="274" spans="20:30" x14ac:dyDescent="0.4">
      <c r="T274" s="16">
        <v>0.27200000000000002</v>
      </c>
      <c r="U274" s="16">
        <v>899.15148568402492</v>
      </c>
      <c r="V274" s="16">
        <v>0.36730044349837621</v>
      </c>
      <c r="W274" s="16">
        <v>1385.9432890483843</v>
      </c>
      <c r="X274" s="16">
        <v>0.56615330434983013</v>
      </c>
      <c r="Z274" s="16">
        <v>0.27200000000000002</v>
      </c>
      <c r="AA274" s="35">
        <v>0.95417879869436617</v>
      </c>
      <c r="AB274" s="23">
        <v>0.12284536332071325</v>
      </c>
      <c r="AC274" s="16">
        <v>2.6809721225185141</v>
      </c>
      <c r="AD274" s="16">
        <v>1</v>
      </c>
    </row>
    <row r="275" spans="20:30" x14ac:dyDescent="0.4">
      <c r="T275" s="16">
        <v>0.27300000000000002</v>
      </c>
      <c r="U275" s="16">
        <v>899.15685547826001</v>
      </c>
      <c r="V275" s="16">
        <v>0.36730263704177291</v>
      </c>
      <c r="W275" s="16">
        <v>1386.0722890483842</v>
      </c>
      <c r="X275" s="16">
        <v>0.56620600042826152</v>
      </c>
      <c r="Z275" s="16">
        <v>0.27300000000000002</v>
      </c>
      <c r="AA275" s="35">
        <v>0.95355029442803474</v>
      </c>
      <c r="AB275" s="23">
        <v>0.12410312160998639</v>
      </c>
      <c r="AC275" s="16">
        <v>2.6717741282065064</v>
      </c>
      <c r="AD275" s="16">
        <v>1</v>
      </c>
    </row>
    <row r="276" spans="20:30" x14ac:dyDescent="0.4">
      <c r="T276" s="16">
        <v>0.27400000000000002</v>
      </c>
      <c r="U276" s="16">
        <v>899.16222527249511</v>
      </c>
      <c r="V276" s="16">
        <v>0.36730483058516955</v>
      </c>
      <c r="W276" s="16">
        <v>1386.2012890483841</v>
      </c>
      <c r="X276" s="16">
        <v>0.5662586965066928</v>
      </c>
      <c r="Z276" s="16">
        <v>0.27400000000000002</v>
      </c>
      <c r="AA276" s="35">
        <v>0.95292179016171918</v>
      </c>
      <c r="AB276" s="23">
        <v>0.12536087989925687</v>
      </c>
      <c r="AC276" s="16">
        <v>2.6628217243154793</v>
      </c>
      <c r="AD276" s="16">
        <v>1</v>
      </c>
    </row>
    <row r="277" spans="20:30" x14ac:dyDescent="0.4">
      <c r="T277" s="16">
        <v>0.27500000000000002</v>
      </c>
      <c r="U277" s="16">
        <v>899.16759506672997</v>
      </c>
      <c r="V277" s="16">
        <v>0.36730702412856614</v>
      </c>
      <c r="W277" s="16">
        <v>1386.3302890483842</v>
      </c>
      <c r="X277" s="16">
        <v>0.56631139258512431</v>
      </c>
      <c r="Z277" s="16">
        <v>0.27500000000000002</v>
      </c>
      <c r="AA277" s="35">
        <v>0.95229328589541951</v>
      </c>
      <c r="AB277" s="23">
        <v>0.12661863818853267</v>
      </c>
      <c r="AC277" s="16">
        <v>2.6541052043736451</v>
      </c>
      <c r="AD277" s="16">
        <v>1</v>
      </c>
    </row>
    <row r="278" spans="20:30" x14ac:dyDescent="0.4">
      <c r="T278" s="16">
        <v>0.27600000000000002</v>
      </c>
      <c r="U278" s="16">
        <v>899.17296486096507</v>
      </c>
      <c r="V278" s="16">
        <v>0.36730921767196284</v>
      </c>
      <c r="W278" s="16">
        <v>1386.4592890483841</v>
      </c>
      <c r="X278" s="16">
        <v>0.56636408866355559</v>
      </c>
      <c r="Z278" s="16">
        <v>0.27600000000000002</v>
      </c>
      <c r="AA278" s="35">
        <v>0.95166478162908807</v>
      </c>
      <c r="AB278" s="23">
        <v>0.12787639647780313</v>
      </c>
      <c r="AC278" s="16">
        <v>2.6456153667603783</v>
      </c>
      <c r="AD278" s="16">
        <v>1</v>
      </c>
    </row>
    <row r="279" spans="20:30" x14ac:dyDescent="0.4">
      <c r="T279" s="16">
        <v>0.27700000000000002</v>
      </c>
      <c r="U279" s="16">
        <v>899.17833465520016</v>
      </c>
      <c r="V279" s="16">
        <v>0.36731141121535954</v>
      </c>
      <c r="W279" s="16">
        <v>1386.5882890483842</v>
      </c>
      <c r="X279" s="16">
        <v>0.56641678474198698</v>
      </c>
      <c r="Z279" s="16">
        <v>0.27700000000000002</v>
      </c>
      <c r="AA279" s="35">
        <v>0.95103627736275664</v>
      </c>
      <c r="AB279" s="23">
        <v>0.12913415476707626</v>
      </c>
      <c r="AC279" s="16">
        <v>2.6373434823122035</v>
      </c>
      <c r="AD279" s="16">
        <v>1</v>
      </c>
    </row>
    <row r="280" spans="20:30" x14ac:dyDescent="0.4">
      <c r="T280" s="16">
        <v>0.27800000000000002</v>
      </c>
      <c r="U280" s="16">
        <v>899.18370444943525</v>
      </c>
      <c r="V280" s="16">
        <v>0.36731360475875624</v>
      </c>
      <c r="W280" s="16">
        <v>1386.7172890483841</v>
      </c>
      <c r="X280" s="16">
        <v>0.56646948082041837</v>
      </c>
      <c r="Z280" s="16">
        <v>0.27800000000000002</v>
      </c>
      <c r="AA280" s="35">
        <v>0.95040777309642521</v>
      </c>
      <c r="AB280" s="23">
        <v>0.13039191305634942</v>
      </c>
      <c r="AC280" s="16">
        <v>2.6292812643779522</v>
      </c>
      <c r="AD280" s="16">
        <v>1</v>
      </c>
    </row>
    <row r="281" spans="20:30" x14ac:dyDescent="0.4">
      <c r="T281" s="16">
        <v>0.27900000000000003</v>
      </c>
      <c r="U281" s="16">
        <v>899.18907424367035</v>
      </c>
      <c r="V281" s="16">
        <v>0.36731579830215294</v>
      </c>
      <c r="W281" s="16">
        <v>1386.8462890483841</v>
      </c>
      <c r="X281" s="16">
        <v>0.56652217689884965</v>
      </c>
      <c r="Z281" s="16">
        <v>0.27900000000000003</v>
      </c>
      <c r="AA281" s="35">
        <v>0.94977926883009367</v>
      </c>
      <c r="AB281" s="23">
        <v>0.13164967134561989</v>
      </c>
      <c r="AC281" s="16">
        <v>2.6214208411308051</v>
      </c>
      <c r="AD281" s="16">
        <v>1</v>
      </c>
    </row>
    <row r="282" spans="20:30" x14ac:dyDescent="0.4">
      <c r="T282" s="16">
        <v>0.28000000000000003</v>
      </c>
      <c r="U282" s="16">
        <v>899.19444403790544</v>
      </c>
      <c r="V282" s="16">
        <v>0.36731799184554959</v>
      </c>
      <c r="W282" s="16">
        <v>1386.9752890483842</v>
      </c>
      <c r="X282" s="16">
        <v>0.56657487297728115</v>
      </c>
      <c r="Z282" s="16">
        <v>0.28000000000000003</v>
      </c>
      <c r="AA282" s="35">
        <v>0.94915076456377823</v>
      </c>
      <c r="AB282" s="23">
        <v>0.13290742963489569</v>
      </c>
      <c r="AC282" s="16">
        <v>2.613754729932888</v>
      </c>
      <c r="AD282" s="16">
        <v>1</v>
      </c>
    </row>
    <row r="283" spans="20:30" x14ac:dyDescent="0.4">
      <c r="T283" s="16">
        <v>0.28100000000000003</v>
      </c>
      <c r="U283" s="16">
        <v>899.19981383214031</v>
      </c>
      <c r="V283" s="16">
        <v>0.36732018538894623</v>
      </c>
      <c r="W283" s="16">
        <v>1387.1042890483841</v>
      </c>
      <c r="X283" s="16">
        <v>0.56662756905571243</v>
      </c>
      <c r="Z283" s="16">
        <v>0.28100000000000003</v>
      </c>
      <c r="AA283" s="35">
        <v>0.94852226029746267</v>
      </c>
      <c r="AB283" s="23">
        <v>0.13416518792416615</v>
      </c>
      <c r="AC283" s="16">
        <v>2.6062758135737099</v>
      </c>
      <c r="AD283" s="16">
        <v>1</v>
      </c>
    </row>
    <row r="284" spans="20:30" x14ac:dyDescent="0.4">
      <c r="T284" s="16">
        <v>0.28200000000000003</v>
      </c>
      <c r="U284" s="16">
        <v>899.2051836263754</v>
      </c>
      <c r="V284" s="16">
        <v>0.36732237893234287</v>
      </c>
      <c r="W284" s="16">
        <v>1387.2332890483842</v>
      </c>
      <c r="X284" s="16">
        <v>0.56668026513414393</v>
      </c>
      <c r="Z284" s="16">
        <v>0.28200000000000003</v>
      </c>
      <c r="AA284" s="35">
        <v>0.94789375603114712</v>
      </c>
      <c r="AB284" s="23">
        <v>0.13542294621344195</v>
      </c>
      <c r="AC284" s="16">
        <v>2.598977318234502</v>
      </c>
      <c r="AD284" s="16">
        <v>1</v>
      </c>
    </row>
    <row r="285" spans="20:30" x14ac:dyDescent="0.4">
      <c r="T285" s="16">
        <v>0.28300000000000003</v>
      </c>
      <c r="U285" s="16">
        <v>899.21055342061049</v>
      </c>
      <c r="V285" s="16">
        <v>0.36732457247573957</v>
      </c>
      <c r="W285" s="16">
        <v>1387.3622890483841</v>
      </c>
      <c r="X285" s="16">
        <v>0.56673296121257521</v>
      </c>
      <c r="Z285" s="16">
        <v>0.28300000000000003</v>
      </c>
      <c r="AA285" s="35">
        <v>0.94726525176481557</v>
      </c>
      <c r="AB285" s="23">
        <v>0.13668070450271244</v>
      </c>
      <c r="AC285" s="16">
        <v>2.5918527930227149</v>
      </c>
      <c r="AD285" s="16">
        <v>1</v>
      </c>
    </row>
    <row r="286" spans="20:30" x14ac:dyDescent="0.4">
      <c r="T286" s="16">
        <v>0.28400000000000003</v>
      </c>
      <c r="U286" s="16">
        <v>899.21592321484559</v>
      </c>
      <c r="V286" s="16">
        <v>0.36732676601913627</v>
      </c>
      <c r="W286" s="16">
        <v>1387.4912890483843</v>
      </c>
      <c r="X286" s="16">
        <v>0.56678565729100661</v>
      </c>
      <c r="Z286" s="16">
        <v>0.28400000000000003</v>
      </c>
      <c r="AA286" s="35">
        <v>0.94663674749848414</v>
      </c>
      <c r="AB286" s="23">
        <v>0.13793846279198557</v>
      </c>
      <c r="AC286" s="16">
        <v>2.5848960909582348</v>
      </c>
      <c r="AD286" s="16">
        <v>1</v>
      </c>
    </row>
    <row r="287" spans="20:30" x14ac:dyDescent="0.4">
      <c r="T287" s="16">
        <v>0.28500000000000003</v>
      </c>
      <c r="U287" s="16">
        <v>899.22129300908068</v>
      </c>
      <c r="V287" s="16">
        <v>0.36732895956253298</v>
      </c>
      <c r="W287" s="16">
        <v>1387.6202890483842</v>
      </c>
      <c r="X287" s="16">
        <v>0.566838353369438</v>
      </c>
      <c r="Z287" s="16">
        <v>0.28500000000000003</v>
      </c>
      <c r="AA287" s="35">
        <v>0.94600824323215271</v>
      </c>
      <c r="AB287" s="23">
        <v>0.1391962210812587</v>
      </c>
      <c r="AC287" s="16">
        <v>2.5781013512816768</v>
      </c>
      <c r="AD287" s="16">
        <v>1</v>
      </c>
    </row>
    <row r="288" spans="20:30" x14ac:dyDescent="0.4">
      <c r="T288" s="16">
        <v>0.28600000000000003</v>
      </c>
      <c r="U288" s="16">
        <v>899.22666280331578</v>
      </c>
      <c r="V288" s="16">
        <v>0.36733115310592962</v>
      </c>
      <c r="W288" s="16">
        <v>1387.7492890483841</v>
      </c>
      <c r="X288" s="16">
        <v>0.56689104944786928</v>
      </c>
      <c r="Z288" s="16">
        <v>0.28600000000000003</v>
      </c>
      <c r="AA288" s="35">
        <v>0.94537973896583716</v>
      </c>
      <c r="AB288" s="23">
        <v>0.1404539793705292</v>
      </c>
      <c r="AC288" s="16">
        <v>2.5714629829886881</v>
      </c>
      <c r="AD288" s="16">
        <v>1</v>
      </c>
    </row>
    <row r="289" spans="20:30" x14ac:dyDescent="0.4">
      <c r="T289" s="16">
        <v>0.28700000000000003</v>
      </c>
      <c r="U289" s="16">
        <v>899.23203259755064</v>
      </c>
      <c r="V289" s="16">
        <v>0.36733334664932626</v>
      </c>
      <c r="W289" s="16">
        <v>1387.8782890483842</v>
      </c>
      <c r="X289" s="16">
        <v>0.56694374552630078</v>
      </c>
      <c r="Z289" s="16">
        <v>0.28700000000000003</v>
      </c>
      <c r="AA289" s="35">
        <v>0.9447512346995216</v>
      </c>
      <c r="AB289" s="23">
        <v>0.14171173765980496</v>
      </c>
      <c r="AC289" s="16">
        <v>2.5649756494843858</v>
      </c>
      <c r="AD289" s="16">
        <v>1</v>
      </c>
    </row>
    <row r="290" spans="20:30" x14ac:dyDescent="0.4">
      <c r="T290" s="16">
        <v>0.28800000000000003</v>
      </c>
      <c r="U290" s="16">
        <v>899.23740239178574</v>
      </c>
      <c r="V290" s="16">
        <v>0.36733554019272291</v>
      </c>
      <c r="W290" s="16">
        <v>1388.0072890483841</v>
      </c>
      <c r="X290" s="16">
        <v>0.56699644160473206</v>
      </c>
      <c r="Z290" s="16">
        <v>0.28800000000000003</v>
      </c>
      <c r="AA290" s="35">
        <v>0.94412273043320605</v>
      </c>
      <c r="AB290" s="23">
        <v>0.14296949594907546</v>
      </c>
      <c r="AC290" s="16">
        <v>2.5586342542771199</v>
      </c>
      <c r="AD290" s="16">
        <v>1</v>
      </c>
    </row>
    <row r="291" spans="20:30" x14ac:dyDescent="0.4">
      <c r="T291" s="16">
        <v>0.28899999999999998</v>
      </c>
      <c r="U291" s="16">
        <v>899.24277218602083</v>
      </c>
      <c r="V291" s="16">
        <v>0.36733773373611961</v>
      </c>
      <c r="W291" s="16">
        <v>1388.1362890483842</v>
      </c>
      <c r="X291" s="16">
        <v>0.56704913768316345</v>
      </c>
      <c r="Z291" s="16">
        <v>0.28899999999999998</v>
      </c>
      <c r="AA291" s="35">
        <v>0.94349422616687462</v>
      </c>
      <c r="AB291" s="23">
        <v>0.14422725423834859</v>
      </c>
      <c r="AC291" s="16">
        <v>2.5524339276245471</v>
      </c>
      <c r="AD291" s="16">
        <v>1</v>
      </c>
    </row>
    <row r="292" spans="20:30" x14ac:dyDescent="0.4">
      <c r="T292" s="16">
        <v>0.28999999999999998</v>
      </c>
      <c r="U292" s="16">
        <v>899.24814198025592</v>
      </c>
      <c r="V292" s="16">
        <v>0.36733992727951631</v>
      </c>
      <c r="W292" s="16">
        <v>1388.2652890483841</v>
      </c>
      <c r="X292" s="16">
        <v>0.56710183376159484</v>
      </c>
      <c r="Z292" s="16">
        <v>0.28999999999999998</v>
      </c>
      <c r="AA292" s="35">
        <v>0.94286572190054319</v>
      </c>
      <c r="AB292" s="23">
        <v>0.14548501252762172</v>
      </c>
      <c r="AC292" s="16">
        <v>2.5463700140634993</v>
      </c>
      <c r="AD292" s="16">
        <v>1</v>
      </c>
    </row>
    <row r="293" spans="20:30" x14ac:dyDescent="0.4">
      <c r="T293" s="16">
        <v>0.29099999999999998</v>
      </c>
      <c r="U293" s="16">
        <v>899.25351177449102</v>
      </c>
      <c r="V293" s="16">
        <v>0.36734212082291301</v>
      </c>
      <c r="W293" s="16">
        <v>1388.3942890483841</v>
      </c>
      <c r="X293" s="16">
        <v>0.56715452984002612</v>
      </c>
      <c r="Z293" s="16">
        <v>0.29099999999999998</v>
      </c>
      <c r="AA293" s="35">
        <v>0.94223721763421175</v>
      </c>
      <c r="AB293" s="23">
        <v>0.14674277081689222</v>
      </c>
      <c r="AC293" s="16">
        <v>2.54043806075043</v>
      </c>
      <c r="AD293" s="16">
        <v>1</v>
      </c>
    </row>
    <row r="294" spans="20:30" x14ac:dyDescent="0.4">
      <c r="T294" s="16">
        <v>0.29199999999999998</v>
      </c>
      <c r="U294" s="16">
        <v>899.25888156872588</v>
      </c>
      <c r="V294" s="16">
        <v>0.3673443143663096</v>
      </c>
      <c r="W294" s="16">
        <v>1388.5232890483842</v>
      </c>
      <c r="X294" s="16">
        <v>0.56720722591845762</v>
      </c>
      <c r="Z294" s="16">
        <v>0.29199999999999998</v>
      </c>
      <c r="AA294" s="35">
        <v>0.94160871336791208</v>
      </c>
      <c r="AB294" s="23">
        <v>0.14800052910616801</v>
      </c>
      <c r="AC294" s="16">
        <v>2.534633806559023</v>
      </c>
      <c r="AD294" s="16">
        <v>1</v>
      </c>
    </row>
    <row r="295" spans="20:30" x14ac:dyDescent="0.4">
      <c r="T295" s="16">
        <v>0.29299999999999998</v>
      </c>
      <c r="U295" s="16">
        <v>899.26425136296098</v>
      </c>
      <c r="V295" s="16">
        <v>0.3673465079097063</v>
      </c>
      <c r="W295" s="16">
        <v>1388.6522890483841</v>
      </c>
      <c r="X295" s="16">
        <v>0.56725992199688891</v>
      </c>
      <c r="Z295" s="16">
        <v>0.29299999999999998</v>
      </c>
      <c r="AA295" s="35">
        <v>0.94098020910158064</v>
      </c>
      <c r="AB295" s="23">
        <v>0.14925828739543848</v>
      </c>
      <c r="AC295" s="16">
        <v>2.5289531718662164</v>
      </c>
      <c r="AD295" s="16">
        <v>1</v>
      </c>
    </row>
    <row r="296" spans="20:30" x14ac:dyDescent="0.4">
      <c r="T296" s="16">
        <v>0.29399999999999998</v>
      </c>
      <c r="U296" s="16">
        <v>899.26962115719607</v>
      </c>
      <c r="V296" s="16">
        <v>0.36734870145310294</v>
      </c>
      <c r="W296" s="16">
        <v>1388.7812890483842</v>
      </c>
      <c r="X296" s="16">
        <v>0.56731261807532041</v>
      </c>
      <c r="Z296" s="16">
        <v>0.29399999999999998</v>
      </c>
      <c r="AA296" s="35">
        <v>0.94035170483526509</v>
      </c>
      <c r="AB296" s="23">
        <v>0.15051604568471427</v>
      </c>
      <c r="AC296" s="16">
        <v>2.5233922489992962</v>
      </c>
      <c r="AD296" s="16">
        <v>1</v>
      </c>
    </row>
    <row r="297" spans="20:30" x14ac:dyDescent="0.4">
      <c r="T297" s="16">
        <v>0.29499999999999998</v>
      </c>
      <c r="U297" s="16">
        <v>899.27499095143116</v>
      </c>
      <c r="V297" s="16">
        <v>0.36735089499649964</v>
      </c>
      <c r="W297" s="16">
        <v>1388.9102890483841</v>
      </c>
      <c r="X297" s="16">
        <v>0.56736531415375169</v>
      </c>
      <c r="Z297" s="16">
        <v>0.29499999999999998</v>
      </c>
      <c r="AA297" s="35">
        <v>0.93972320056893366</v>
      </c>
      <c r="AB297" s="23">
        <v>0.15177380397398474</v>
      </c>
      <c r="AC297" s="16">
        <v>2.5179472932625773</v>
      </c>
      <c r="AD297" s="16">
        <v>1</v>
      </c>
    </row>
    <row r="298" spans="20:30" x14ac:dyDescent="0.4">
      <c r="T298" s="16">
        <v>0.29599999999999999</v>
      </c>
      <c r="U298" s="16">
        <v>899.28036074566626</v>
      </c>
      <c r="V298" s="16">
        <v>0.36735308853989634</v>
      </c>
      <c r="W298" s="16">
        <v>1389.039289048384</v>
      </c>
      <c r="X298" s="16">
        <v>0.56741801023218297</v>
      </c>
      <c r="Z298" s="16">
        <v>0.29599999999999999</v>
      </c>
      <c r="AA298" s="35">
        <v>0.93909469630260212</v>
      </c>
      <c r="AB298" s="23">
        <v>0.15303156226325523</v>
      </c>
      <c r="AC298" s="16">
        <v>2.5126147145341853</v>
      </c>
      <c r="AD298" s="16">
        <v>1</v>
      </c>
    </row>
    <row r="299" spans="20:30" x14ac:dyDescent="0.4">
      <c r="T299" s="16">
        <v>0.29699999999999999</v>
      </c>
      <c r="U299" s="16">
        <v>899.28573053990135</v>
      </c>
      <c r="V299" s="16">
        <v>0.36735528208329304</v>
      </c>
      <c r="W299" s="16">
        <v>1389.1682890483842</v>
      </c>
      <c r="X299" s="16">
        <v>0.56747070631061447</v>
      </c>
      <c r="Z299" s="16">
        <v>0.29699999999999999</v>
      </c>
      <c r="AA299" s="35">
        <v>0.93846619203627069</v>
      </c>
      <c r="AB299" s="23">
        <v>0.15428932055253103</v>
      </c>
      <c r="AC299" s="16">
        <v>2.5073910693691479</v>
      </c>
      <c r="AD299" s="16">
        <v>1</v>
      </c>
    </row>
    <row r="300" spans="20:30" x14ac:dyDescent="0.4">
      <c r="T300" s="16">
        <v>0.29799999999999999</v>
      </c>
      <c r="U300" s="16">
        <v>899.29110033413622</v>
      </c>
      <c r="V300" s="16">
        <v>0.36735747562668963</v>
      </c>
      <c r="W300" s="16">
        <v>1389.2972890483841</v>
      </c>
      <c r="X300" s="16">
        <v>0.56752340238904575</v>
      </c>
      <c r="Z300" s="16">
        <v>0.29799999999999999</v>
      </c>
      <c r="AA300" s="35">
        <v>0.93783768776997112</v>
      </c>
      <c r="AB300" s="23">
        <v>0.15554707884180149</v>
      </c>
      <c r="AC300" s="16">
        <v>2.5022730535860123</v>
      </c>
      <c r="AD300" s="16">
        <v>1</v>
      </c>
    </row>
    <row r="301" spans="20:30" x14ac:dyDescent="0.4">
      <c r="T301" s="16">
        <v>0.29899999999999999</v>
      </c>
      <c r="U301" s="16">
        <v>899.29647012837131</v>
      </c>
      <c r="V301" s="16">
        <v>0.36735966917008633</v>
      </c>
      <c r="W301" s="16">
        <v>1389.4262890483842</v>
      </c>
      <c r="X301" s="16">
        <v>0.56757609846747725</v>
      </c>
      <c r="Z301" s="16">
        <v>0.29899999999999999</v>
      </c>
      <c r="AA301" s="35">
        <v>0.93720918350363958</v>
      </c>
      <c r="AB301" s="23">
        <v>0.15680483713107729</v>
      </c>
      <c r="AC301" s="16">
        <v>2.4972574952925837</v>
      </c>
      <c r="AD301" s="16">
        <v>1</v>
      </c>
    </row>
    <row r="302" spans="20:30" x14ac:dyDescent="0.4">
      <c r="T302" s="16">
        <v>0.3</v>
      </c>
      <c r="U302" s="16">
        <v>899.3018399226064</v>
      </c>
      <c r="V302" s="16">
        <v>0.36736186271348303</v>
      </c>
      <c r="W302" s="16">
        <v>1389.5552890483841</v>
      </c>
      <c r="X302" s="16">
        <v>0.56762879454590853</v>
      </c>
      <c r="Z302" s="16">
        <v>0.3</v>
      </c>
      <c r="AA302" s="35">
        <v>0.93658067923730814</v>
      </c>
      <c r="AB302" s="23">
        <v>0.15806259542034778</v>
      </c>
      <c r="AC302" s="16">
        <v>2.4923413483376886</v>
      </c>
      <c r="AD302" s="16">
        <v>1</v>
      </c>
    </row>
    <row r="303" spans="20:30" x14ac:dyDescent="0.4">
      <c r="T303" s="16">
        <v>0.30099999999999999</v>
      </c>
      <c r="U303" s="16">
        <v>899.3072097168415</v>
      </c>
      <c r="V303" s="16">
        <v>0.36736405625687968</v>
      </c>
      <c r="W303" s="16">
        <v>1389.6842890483842</v>
      </c>
      <c r="X303" s="16">
        <v>0.56768149062433992</v>
      </c>
      <c r="Z303" s="16">
        <v>0.30099999999999999</v>
      </c>
      <c r="AA303" s="35">
        <v>0.93595217497099259</v>
      </c>
      <c r="AB303" s="23">
        <v>0.15932035370962092</v>
      </c>
      <c r="AC303" s="16">
        <v>2.4875216861378875</v>
      </c>
      <c r="AD303" s="16">
        <v>1</v>
      </c>
    </row>
    <row r="304" spans="20:30" x14ac:dyDescent="0.4">
      <c r="T304" s="16">
        <v>0.30199999999999999</v>
      </c>
      <c r="U304" s="16">
        <v>899.31257951107659</v>
      </c>
      <c r="V304" s="16">
        <v>0.36736624980027638</v>
      </c>
      <c r="W304" s="16">
        <v>1389.8132890483841</v>
      </c>
      <c r="X304" s="16">
        <v>0.56773418670277132</v>
      </c>
      <c r="Z304" s="16">
        <v>0.30199999999999999</v>
      </c>
      <c r="AA304" s="35">
        <v>0.93532367070466116</v>
      </c>
      <c r="AB304" s="23">
        <v>0.16057811199889405</v>
      </c>
      <c r="AC304" s="16">
        <v>2.4827956958662272</v>
      </c>
      <c r="AD304" s="16">
        <v>1</v>
      </c>
    </row>
    <row r="305" spans="20:30" x14ac:dyDescent="0.4">
      <c r="T305" s="16">
        <v>0.30299999999999999</v>
      </c>
      <c r="U305" s="16">
        <v>899.31794930531169</v>
      </c>
      <c r="V305" s="16">
        <v>0.36736844334367308</v>
      </c>
      <c r="W305" s="16">
        <v>1389.9422890483841</v>
      </c>
      <c r="X305" s="16">
        <v>0.5677868827812026</v>
      </c>
      <c r="Z305" s="16">
        <v>0.30299999999999999</v>
      </c>
      <c r="AA305" s="35">
        <v>0.93469516643832973</v>
      </c>
      <c r="AB305" s="23">
        <v>0.16183587028816454</v>
      </c>
      <c r="AC305" s="16">
        <v>2.4781606729819732</v>
      </c>
      <c r="AD305" s="16">
        <v>1</v>
      </c>
    </row>
    <row r="306" spans="20:30" x14ac:dyDescent="0.4">
      <c r="T306" s="16">
        <v>0.30399999999999999</v>
      </c>
      <c r="U306" s="16">
        <v>899.32331909954655</v>
      </c>
      <c r="V306" s="16">
        <v>0.36737063688706967</v>
      </c>
      <c r="W306" s="16">
        <v>1390.0712890483842</v>
      </c>
      <c r="X306" s="16">
        <v>0.5678395788596341</v>
      </c>
      <c r="Z306" s="16">
        <v>0.30399999999999999</v>
      </c>
      <c r="AA306" s="35">
        <v>0.93406666217203005</v>
      </c>
      <c r="AB306" s="23">
        <v>0.16309362857744031</v>
      </c>
      <c r="AC306" s="16">
        <v>2.473614016068415</v>
      </c>
      <c r="AD306" s="16">
        <v>1</v>
      </c>
    </row>
    <row r="307" spans="20:30" x14ac:dyDescent="0.4">
      <c r="T307" s="16">
        <v>0.30499999999999999</v>
      </c>
      <c r="U307" s="16">
        <v>899.32868889378165</v>
      </c>
      <c r="V307" s="16">
        <v>0.36737283043046637</v>
      </c>
      <c r="W307" s="16">
        <v>1390.2002890483841</v>
      </c>
      <c r="X307" s="16">
        <v>0.56789227493806538</v>
      </c>
      <c r="Z307" s="16">
        <v>0.30499999999999999</v>
      </c>
      <c r="AA307" s="35">
        <v>0.93343815790569862</v>
      </c>
      <c r="AB307" s="23">
        <v>0.1643513868667108</v>
      </c>
      <c r="AC307" s="16">
        <v>2.4691532219596062</v>
      </c>
      <c r="AD307" s="16">
        <v>1</v>
      </c>
    </row>
    <row r="308" spans="20:30" x14ac:dyDescent="0.4">
      <c r="T308" s="16">
        <v>0.30599999999999999</v>
      </c>
      <c r="U308" s="16">
        <v>899.33405868801674</v>
      </c>
      <c r="V308" s="16">
        <v>0.36737502397386307</v>
      </c>
      <c r="W308" s="16">
        <v>1390.3292890483842</v>
      </c>
      <c r="X308" s="16">
        <v>0.56794497101649677</v>
      </c>
      <c r="Z308" s="16">
        <v>0.30599999999999999</v>
      </c>
      <c r="AA308" s="35">
        <v>0.93280965363936719</v>
      </c>
      <c r="AB308" s="23">
        <v>0.16560914515598393</v>
      </c>
      <c r="AC308" s="16">
        <v>2.4647758811527014</v>
      </c>
      <c r="AD308" s="16">
        <v>1</v>
      </c>
    </row>
    <row r="309" spans="20:30" x14ac:dyDescent="0.4">
      <c r="T309" s="16">
        <v>0.307</v>
      </c>
      <c r="U309" s="16">
        <v>899.33942848225183</v>
      </c>
      <c r="V309" s="16">
        <v>0.36737721751725971</v>
      </c>
      <c r="W309" s="16">
        <v>1390.4582890483841</v>
      </c>
      <c r="X309" s="16">
        <v>0.56799766709492816</v>
      </c>
      <c r="Z309" s="16">
        <v>0.307</v>
      </c>
      <c r="AA309" s="35">
        <v>0.93218114937305163</v>
      </c>
      <c r="AB309" s="23">
        <v>0.16686690344525706</v>
      </c>
      <c r="AC309" s="16">
        <v>2.4604796734634005</v>
      </c>
      <c r="AD309" s="16">
        <v>1</v>
      </c>
    </row>
    <row r="310" spans="20:30" x14ac:dyDescent="0.4">
      <c r="T310" s="16">
        <v>0.308</v>
      </c>
      <c r="U310" s="16">
        <v>899.34479827648693</v>
      </c>
      <c r="V310" s="16">
        <v>0.36737941106065641</v>
      </c>
      <c r="W310" s="16">
        <v>1390.587289048384</v>
      </c>
      <c r="X310" s="16">
        <v>0.56805036317335944</v>
      </c>
      <c r="Z310" s="16">
        <v>0.308</v>
      </c>
      <c r="AA310" s="35">
        <v>0.9315526451067202</v>
      </c>
      <c r="AB310" s="23">
        <v>0.16812466173452756</v>
      </c>
      <c r="AC310" s="16">
        <v>2.4562623639242211</v>
      </c>
      <c r="AD310" s="16">
        <v>1</v>
      </c>
    </row>
    <row r="311" spans="20:30" x14ac:dyDescent="0.4">
      <c r="T311" s="16">
        <v>0.309</v>
      </c>
      <c r="U311" s="16">
        <v>899.35016807072179</v>
      </c>
      <c r="V311" s="16">
        <v>0.367381604604053</v>
      </c>
      <c r="W311" s="16">
        <v>1390.7162890483842</v>
      </c>
      <c r="X311" s="16">
        <v>0.56810305925179094</v>
      </c>
      <c r="Z311" s="16">
        <v>0.309</v>
      </c>
      <c r="AA311" s="35">
        <v>0.93092414084042052</v>
      </c>
      <c r="AB311" s="23">
        <v>0.16938242002380333</v>
      </c>
      <c r="AC311" s="16">
        <v>2.4521217989123381</v>
      </c>
      <c r="AD311" s="16">
        <v>1</v>
      </c>
    </row>
    <row r="312" spans="20:30" x14ac:dyDescent="0.4">
      <c r="T312" s="16">
        <v>0.31</v>
      </c>
      <c r="U312" s="16">
        <v>899.35553786495689</v>
      </c>
      <c r="V312" s="16">
        <v>0.3673837981474497</v>
      </c>
      <c r="W312" s="16">
        <v>1390.8452890483841</v>
      </c>
      <c r="X312" s="16">
        <v>0.56815575533022222</v>
      </c>
      <c r="Z312" s="16">
        <v>0.31</v>
      </c>
      <c r="AA312" s="35">
        <v>0.93029563657408909</v>
      </c>
      <c r="AB312" s="23">
        <v>0.17064017831307382</v>
      </c>
      <c r="AC312" s="16">
        <v>2.4480559024751449</v>
      </c>
      <c r="AD312" s="16">
        <v>1</v>
      </c>
    </row>
    <row r="313" spans="20:30" x14ac:dyDescent="0.4">
      <c r="T313" s="16">
        <v>0.311</v>
      </c>
      <c r="U313" s="16">
        <v>899.36090765919198</v>
      </c>
      <c r="V313" s="16">
        <v>0.3673859916908464</v>
      </c>
      <c r="W313" s="16">
        <v>1390.9742890483842</v>
      </c>
      <c r="X313" s="16">
        <v>0.56820845140865373</v>
      </c>
      <c r="Z313" s="16">
        <v>0.311</v>
      </c>
      <c r="AA313" s="35">
        <v>0.92966713230775766</v>
      </c>
      <c r="AB313" s="23">
        <v>0.17189793660234962</v>
      </c>
      <c r="AC313" s="16">
        <v>2.4440626728676644</v>
      </c>
      <c r="AD313" s="16">
        <v>1</v>
      </c>
    </row>
    <row r="314" spans="20:30" x14ac:dyDescent="0.4">
      <c r="T314" s="16">
        <v>0.312</v>
      </c>
      <c r="U314" s="16">
        <v>899.36627745342707</v>
      </c>
      <c r="V314" s="16">
        <v>0.3673881852342431</v>
      </c>
      <c r="W314" s="16">
        <v>1391.1032890483841</v>
      </c>
      <c r="X314" s="16">
        <v>0.56826114748708501</v>
      </c>
      <c r="Z314" s="16">
        <v>0.312</v>
      </c>
      <c r="AA314" s="35">
        <v>0.92903862804142612</v>
      </c>
      <c r="AB314" s="23">
        <v>0.17315569489162008</v>
      </c>
      <c r="AC314" s="16">
        <v>2.4401401792612694</v>
      </c>
      <c r="AD314" s="16">
        <v>1</v>
      </c>
    </row>
    <row r="315" spans="20:30" x14ac:dyDescent="0.4">
      <c r="T315" s="16">
        <v>0.313</v>
      </c>
      <c r="U315" s="16">
        <v>899.37164724766217</v>
      </c>
      <c r="V315" s="16">
        <v>0.36739037877763975</v>
      </c>
      <c r="W315" s="16">
        <v>1391.2322890483842</v>
      </c>
      <c r="X315" s="16">
        <v>0.5683138435655164</v>
      </c>
      <c r="Z315" s="16">
        <v>0.313</v>
      </c>
      <c r="AA315" s="35">
        <v>0.92841012377511056</v>
      </c>
      <c r="AB315" s="23">
        <v>0.17441345318089324</v>
      </c>
      <c r="AC315" s="16">
        <v>2.4362865586329292</v>
      </c>
      <c r="AD315" s="16">
        <v>1</v>
      </c>
    </row>
    <row r="316" spans="20:30" x14ac:dyDescent="0.4">
      <c r="T316" s="16">
        <v>0.314</v>
      </c>
      <c r="U316" s="16">
        <v>899.37701704189703</v>
      </c>
      <c r="V316" s="16">
        <v>0.36739257232103639</v>
      </c>
      <c r="W316" s="16">
        <v>1391.3612890483842</v>
      </c>
      <c r="X316" s="16">
        <v>0.56836653964394779</v>
      </c>
      <c r="Z316" s="16">
        <v>0.314</v>
      </c>
      <c r="AA316" s="35">
        <v>0.92778161950879501</v>
      </c>
      <c r="AB316" s="23">
        <v>0.17567121147016637</v>
      </c>
      <c r="AC316" s="16">
        <v>2.4325000128126693</v>
      </c>
      <c r="AD316" s="16">
        <v>1</v>
      </c>
    </row>
    <row r="317" spans="20:30" x14ac:dyDescent="0.4">
      <c r="T317" s="16">
        <v>0.315</v>
      </c>
      <c r="U317" s="16">
        <v>899.38238683613213</v>
      </c>
      <c r="V317" s="16">
        <v>0.36739476586443304</v>
      </c>
      <c r="W317" s="16">
        <v>1391.4902890483841</v>
      </c>
      <c r="X317" s="16">
        <v>0.56841923572237907</v>
      </c>
      <c r="Z317" s="16">
        <v>0.315</v>
      </c>
      <c r="AA317" s="35">
        <v>0.92715311524247956</v>
      </c>
      <c r="AB317" s="23">
        <v>0.17692896975943684</v>
      </c>
      <c r="AC317" s="16">
        <v>2.4287788056876565</v>
      </c>
      <c r="AD317" s="16">
        <v>1</v>
      </c>
    </row>
    <row r="318" spans="20:30" x14ac:dyDescent="0.4">
      <c r="T318" s="16">
        <v>0.316</v>
      </c>
      <c r="U318" s="16">
        <v>899.38775663036722</v>
      </c>
      <c r="V318" s="16">
        <v>0.36739695940782974</v>
      </c>
      <c r="W318" s="16">
        <v>1391.6192890483842</v>
      </c>
      <c r="X318" s="16">
        <v>0.56847193180081057</v>
      </c>
      <c r="Z318" s="16">
        <v>0.316</v>
      </c>
      <c r="AA318" s="35">
        <v>0.92652461097614802</v>
      </c>
      <c r="AB318" s="23">
        <v>0.17818672804871263</v>
      </c>
      <c r="AC318" s="16">
        <v>2.4251212605471024</v>
      </c>
      <c r="AD318" s="16">
        <v>1</v>
      </c>
    </row>
    <row r="319" spans="20:30" x14ac:dyDescent="0.4">
      <c r="T319" s="16">
        <v>0.317</v>
      </c>
      <c r="U319" s="16">
        <v>899.39312642460231</v>
      </c>
      <c r="V319" s="16">
        <v>0.36739915295122644</v>
      </c>
      <c r="W319" s="16">
        <v>1391.7482890483841</v>
      </c>
      <c r="X319" s="16">
        <v>0.56852462787924185</v>
      </c>
      <c r="Z319" s="16">
        <v>0.317</v>
      </c>
      <c r="AA319" s="35">
        <v>0.92589610670981659</v>
      </c>
      <c r="AB319" s="23">
        <v>0.17944448633798313</v>
      </c>
      <c r="AC319" s="16">
        <v>2.421525757564404</v>
      </c>
      <c r="AD319" s="16">
        <v>1</v>
      </c>
    </row>
    <row r="320" spans="20:30" x14ac:dyDescent="0.4">
      <c r="T320" s="16">
        <v>0.318</v>
      </c>
      <c r="U320" s="16">
        <v>899.39849621883741</v>
      </c>
      <c r="V320" s="16">
        <v>0.36740134649462314</v>
      </c>
      <c r="W320" s="16">
        <v>1391.8772890483842</v>
      </c>
      <c r="X320" s="16">
        <v>0.56857732395767324</v>
      </c>
      <c r="Z320" s="16">
        <v>0.318</v>
      </c>
      <c r="AA320" s="35">
        <v>0.92526760244348516</v>
      </c>
      <c r="AB320" s="23">
        <v>0.18070224462725626</v>
      </c>
      <c r="AC320" s="16">
        <v>2.4179907314040592</v>
      </c>
      <c r="AD320" s="16">
        <v>1</v>
      </c>
    </row>
    <row r="321" spans="20:30" x14ac:dyDescent="0.4">
      <c r="T321" s="16">
        <v>0.31900000000000001</v>
      </c>
      <c r="U321" s="16">
        <v>899.4038660130725</v>
      </c>
      <c r="V321" s="16">
        <v>0.36740354003801984</v>
      </c>
      <c r="W321" s="16">
        <v>1392.0062890483841</v>
      </c>
      <c r="X321" s="16">
        <v>0.56863002003610463</v>
      </c>
      <c r="Z321" s="16">
        <v>0.31900000000000001</v>
      </c>
      <c r="AA321" s="35">
        <v>0.92463909817715373</v>
      </c>
      <c r="AB321" s="23">
        <v>0.18196000291652939</v>
      </c>
      <c r="AC321" s="16">
        <v>2.4145146689495527</v>
      </c>
      <c r="AD321" s="16">
        <v>1</v>
      </c>
    </row>
    <row r="322" spans="20:30" x14ac:dyDescent="0.4">
      <c r="T322" s="16">
        <v>0.32</v>
      </c>
      <c r="U322" s="16">
        <v>899.40923580730737</v>
      </c>
      <c r="V322" s="16">
        <v>0.36740573358141643</v>
      </c>
      <c r="W322" s="16">
        <v>1392.135289048384</v>
      </c>
      <c r="X322" s="16">
        <v>0.56868271611453591</v>
      </c>
      <c r="Z322" s="16">
        <v>0.32</v>
      </c>
      <c r="AA322" s="35">
        <v>0.92401059391085405</v>
      </c>
      <c r="AB322" s="23">
        <v>0.18321776120579988</v>
      </c>
      <c r="AC322" s="16">
        <v>2.4110961071449939</v>
      </c>
      <c r="AD322" s="16">
        <v>1</v>
      </c>
    </row>
    <row r="323" spans="20:30" x14ac:dyDescent="0.4">
      <c r="T323" s="16">
        <v>0.32100000000000001</v>
      </c>
      <c r="U323" s="16">
        <v>899.41460560154246</v>
      </c>
      <c r="V323" s="16">
        <v>0.36740792712481307</v>
      </c>
      <c r="W323" s="16">
        <v>1392.2642890483842</v>
      </c>
      <c r="X323" s="16">
        <v>0.56873541219296742</v>
      </c>
      <c r="Z323" s="16">
        <v>0.32100000000000001</v>
      </c>
      <c r="AA323" s="35">
        <v>0.9233820896445385</v>
      </c>
      <c r="AB323" s="23">
        <v>0.18447551949507565</v>
      </c>
      <c r="AC323" s="16">
        <v>2.4077336309384978</v>
      </c>
      <c r="AD323" s="16">
        <v>1</v>
      </c>
    </row>
    <row r="324" spans="20:30" x14ac:dyDescent="0.4">
      <c r="T324" s="16">
        <v>0.32200000000000001</v>
      </c>
      <c r="U324" s="16">
        <v>899.41997539577756</v>
      </c>
      <c r="V324" s="16">
        <v>0.36741012066820977</v>
      </c>
      <c r="W324" s="16">
        <v>1392.3932890483841</v>
      </c>
      <c r="X324" s="16">
        <v>0.5687881082713987</v>
      </c>
      <c r="Z324" s="16">
        <v>0.32200000000000001</v>
      </c>
      <c r="AA324" s="35">
        <v>0.92275358537820706</v>
      </c>
      <c r="AB324" s="23">
        <v>0.18573327778434615</v>
      </c>
      <c r="AC324" s="16">
        <v>2.4044258713328897</v>
      </c>
      <c r="AD324" s="16">
        <v>1</v>
      </c>
    </row>
    <row r="325" spans="20:30" x14ac:dyDescent="0.4">
      <c r="T325" s="16">
        <v>0.32300000000000001</v>
      </c>
      <c r="U325" s="16">
        <v>899.42534519001265</v>
      </c>
      <c r="V325" s="16">
        <v>0.36741231421160647</v>
      </c>
      <c r="W325" s="16">
        <v>1392.5222890483842</v>
      </c>
      <c r="X325" s="16">
        <v>0.5688408043498302</v>
      </c>
      <c r="Z325" s="16">
        <v>0.32300000000000001</v>
      </c>
      <c r="AA325" s="35">
        <v>0.92212508111187563</v>
      </c>
      <c r="AB325" s="23">
        <v>0.18699103607362191</v>
      </c>
      <c r="AC325" s="16">
        <v>2.4011715035267582</v>
      </c>
      <c r="AD325" s="16">
        <v>1</v>
      </c>
    </row>
    <row r="326" spans="20:30" x14ac:dyDescent="0.4">
      <c r="T326" s="16">
        <v>0.32400000000000001</v>
      </c>
      <c r="U326" s="16">
        <v>899.43071498424774</v>
      </c>
      <c r="V326" s="16">
        <v>0.36741450775500317</v>
      </c>
      <c r="W326" s="16">
        <v>1392.6512890483841</v>
      </c>
      <c r="X326" s="16">
        <v>0.56889350042826148</v>
      </c>
      <c r="Z326" s="16">
        <v>0.32400000000000001</v>
      </c>
      <c r="AA326" s="35">
        <v>0.9214965768455442</v>
      </c>
      <c r="AB326" s="23">
        <v>0.18824879436289241</v>
      </c>
      <c r="AC326" s="16">
        <v>2.3979692451437709</v>
      </c>
      <c r="AD326" s="16">
        <v>1</v>
      </c>
    </row>
    <row r="327" spans="20:30" x14ac:dyDescent="0.4">
      <c r="T327" s="16">
        <v>0.32500000000000001</v>
      </c>
      <c r="U327" s="16">
        <v>899.43608477848284</v>
      </c>
      <c r="V327" s="16">
        <v>0.36741670129839987</v>
      </c>
      <c r="W327" s="16">
        <v>1392.7802890483842</v>
      </c>
      <c r="X327" s="16">
        <v>0.56894619650669287</v>
      </c>
      <c r="Z327" s="16">
        <v>0.32500000000000001</v>
      </c>
      <c r="AA327" s="35">
        <v>0.92086807257921266</v>
      </c>
      <c r="AB327" s="23">
        <v>0.18950655265216554</v>
      </c>
      <c r="AC327" s="16">
        <v>2.3948178545488537</v>
      </c>
      <c r="AD327" s="16">
        <v>1</v>
      </c>
    </row>
    <row r="328" spans="20:30" x14ac:dyDescent="0.4">
      <c r="T328" s="16">
        <v>0.32600000000000001</v>
      </c>
      <c r="U328" s="16">
        <v>899.4414545727177</v>
      </c>
      <c r="V328" s="16">
        <v>0.36741889484179646</v>
      </c>
      <c r="W328" s="16">
        <v>1392.9092890483842</v>
      </c>
      <c r="X328" s="16">
        <v>0.56899889258512426</v>
      </c>
      <c r="Z328" s="16">
        <v>0.32600000000000001</v>
      </c>
      <c r="AA328" s="35">
        <v>0.92023956831291309</v>
      </c>
      <c r="AB328" s="23">
        <v>0.19076431094143867</v>
      </c>
      <c r="AC328" s="16">
        <v>2.3917161292436075</v>
      </c>
      <c r="AD328" s="16">
        <v>1</v>
      </c>
    </row>
    <row r="329" spans="20:30" x14ac:dyDescent="0.4">
      <c r="T329" s="16">
        <v>0.32700000000000001</v>
      </c>
      <c r="U329" s="16">
        <v>899.4468243669528</v>
      </c>
      <c r="V329" s="16">
        <v>0.36742108838519316</v>
      </c>
      <c r="W329" s="16">
        <v>1393.0382890483841</v>
      </c>
      <c r="X329" s="16">
        <v>0.56905158866355554</v>
      </c>
      <c r="Z329" s="16">
        <v>0.32700000000000001</v>
      </c>
      <c r="AA329" s="35">
        <v>0.91961106404658155</v>
      </c>
      <c r="AB329" s="23">
        <v>0.19202206923070916</v>
      </c>
      <c r="AC329" s="16">
        <v>2.3886629043327154</v>
      </c>
      <c r="AD329" s="16">
        <v>1</v>
      </c>
    </row>
    <row r="330" spans="20:30" x14ac:dyDescent="0.4">
      <c r="T330" s="16">
        <v>0.32800000000000001</v>
      </c>
      <c r="U330" s="16">
        <v>899.45219416118789</v>
      </c>
      <c r="V330" s="16">
        <v>0.36742328192858981</v>
      </c>
      <c r="W330" s="16">
        <v>1393.1672890483842</v>
      </c>
      <c r="X330" s="16">
        <v>0.56910428474198704</v>
      </c>
      <c r="Z330" s="16">
        <v>0.32800000000000001</v>
      </c>
      <c r="AA330" s="35">
        <v>0.918982559780266</v>
      </c>
      <c r="AB330" s="23">
        <v>0.19327982751998496</v>
      </c>
      <c r="AC330" s="16">
        <v>2.3856570510716577</v>
      </c>
      <c r="AD330" s="16">
        <v>1</v>
      </c>
    </row>
    <row r="331" spans="20:30" x14ac:dyDescent="0.4">
      <c r="T331" s="16">
        <v>0.32900000000000001</v>
      </c>
      <c r="U331" s="16">
        <v>899.45756395542298</v>
      </c>
      <c r="V331" s="16">
        <v>0.36742547547198651</v>
      </c>
      <c r="W331" s="16">
        <v>1393.2962890483841</v>
      </c>
      <c r="X331" s="16">
        <v>0.56915698082041832</v>
      </c>
      <c r="Z331" s="16">
        <v>0.32900000000000001</v>
      </c>
      <c r="AA331" s="35">
        <v>0.91835405551393456</v>
      </c>
      <c r="AB331" s="23">
        <v>0.19453758580925543</v>
      </c>
      <c r="AC331" s="16">
        <v>2.3826974754693087</v>
      </c>
      <c r="AD331" s="16">
        <v>1</v>
      </c>
    </row>
    <row r="332" spans="20:30" x14ac:dyDescent="0.4">
      <c r="T332" s="16">
        <v>0.33</v>
      </c>
      <c r="U332" s="16">
        <v>899.46293374965808</v>
      </c>
      <c r="V332" s="16">
        <v>0.36742766901538321</v>
      </c>
      <c r="W332" s="16">
        <v>1393.4252890483842</v>
      </c>
      <c r="X332" s="16">
        <v>0.56920967689884971</v>
      </c>
      <c r="Z332" s="16">
        <v>0.33</v>
      </c>
      <c r="AA332" s="35">
        <v>0.91772555124760313</v>
      </c>
      <c r="AB332" s="23">
        <v>0.19579534409852856</v>
      </c>
      <c r="AC332" s="16">
        <v>2.3797831169646644</v>
      </c>
      <c r="AD332" s="16">
        <v>1</v>
      </c>
    </row>
    <row r="333" spans="20:30" x14ac:dyDescent="0.4">
      <c r="T333" s="16">
        <v>0.33100000000000002</v>
      </c>
      <c r="U333" s="16">
        <v>899.46830354389294</v>
      </c>
      <c r="V333" s="16">
        <v>0.3674298625587798</v>
      </c>
      <c r="W333" s="16">
        <v>1393.5542890483841</v>
      </c>
      <c r="X333" s="16">
        <v>0.56926237297728111</v>
      </c>
      <c r="Z333" s="16">
        <v>0.33100000000000002</v>
      </c>
      <c r="AA333" s="35">
        <v>0.91709704698130345</v>
      </c>
      <c r="AB333" s="23">
        <v>0.19705310238780172</v>
      </c>
      <c r="AC333" s="16">
        <v>2.3769129471583677</v>
      </c>
      <c r="AD333" s="16">
        <v>1</v>
      </c>
    </row>
    <row r="334" spans="20:30" x14ac:dyDescent="0.4">
      <c r="T334" s="16">
        <v>0.33200000000000002</v>
      </c>
      <c r="U334" s="16">
        <v>899.47367333812804</v>
      </c>
      <c r="V334" s="16">
        <v>0.3674320561021765</v>
      </c>
      <c r="W334" s="16">
        <v>1393.683289048384</v>
      </c>
      <c r="X334" s="16">
        <v>0.56931506905571239</v>
      </c>
      <c r="Z334" s="16">
        <v>0.33200000000000002</v>
      </c>
      <c r="AA334" s="35">
        <v>0.91646854271497202</v>
      </c>
      <c r="AB334" s="23">
        <v>0.19831086067707218</v>
      </c>
      <c r="AC334" s="16">
        <v>2.3740859685997249</v>
      </c>
      <c r="AD334" s="16">
        <v>1</v>
      </c>
    </row>
    <row r="335" spans="20:30" x14ac:dyDescent="0.4">
      <c r="T335" s="16">
        <v>0.33300000000000002</v>
      </c>
      <c r="U335" s="16">
        <v>899.47904313236313</v>
      </c>
      <c r="V335" s="16">
        <v>0.3674342496455732</v>
      </c>
      <c r="W335" s="16">
        <v>1393.8122890483842</v>
      </c>
      <c r="X335" s="16">
        <v>0.56936776513414389</v>
      </c>
      <c r="Z335" s="16">
        <v>0.33300000000000002</v>
      </c>
      <c r="AA335" s="35">
        <v>0.91584003844864059</v>
      </c>
      <c r="AB335" s="23">
        <v>0.19956861896634798</v>
      </c>
      <c r="AC335" s="16">
        <v>2.3713012136365981</v>
      </c>
      <c r="AD335" s="16">
        <v>1</v>
      </c>
    </row>
    <row r="336" spans="20:30" x14ac:dyDescent="0.4">
      <c r="T336" s="16">
        <v>0.33400000000000002</v>
      </c>
      <c r="U336" s="16">
        <v>899.48441292659822</v>
      </c>
      <c r="V336" s="16">
        <v>0.36743644318896984</v>
      </c>
      <c r="W336" s="16">
        <v>1393.9412890483841</v>
      </c>
      <c r="X336" s="16">
        <v>0.56942046121257517</v>
      </c>
      <c r="Z336" s="16">
        <v>0.33400000000000002</v>
      </c>
      <c r="AA336" s="35">
        <v>0.91521153418232504</v>
      </c>
      <c r="AB336" s="23">
        <v>0.20082637725561847</v>
      </c>
      <c r="AC336" s="16">
        <v>2.3685577433075138</v>
      </c>
      <c r="AD336" s="16">
        <v>1</v>
      </c>
    </row>
    <row r="337" spans="20:30" x14ac:dyDescent="0.4">
      <c r="T337" s="16">
        <v>0.33500000000000002</v>
      </c>
      <c r="U337" s="16">
        <v>899.48978272083332</v>
      </c>
      <c r="V337" s="16">
        <v>0.36743863673236654</v>
      </c>
      <c r="W337" s="16">
        <v>1394.0702890483842</v>
      </c>
      <c r="X337" s="16">
        <v>0.56947315729100667</v>
      </c>
      <c r="Z337" s="16">
        <v>0.33500000000000002</v>
      </c>
      <c r="AA337" s="35">
        <v>0.91458302991599361</v>
      </c>
      <c r="AB337" s="23">
        <v>0.20208413554489424</v>
      </c>
      <c r="AC337" s="16">
        <v>2.3658546462857126</v>
      </c>
      <c r="AD337" s="16">
        <v>1</v>
      </c>
    </row>
    <row r="338" spans="20:30" x14ac:dyDescent="0.4">
      <c r="T338" s="16">
        <v>0.33600000000000002</v>
      </c>
      <c r="U338" s="16">
        <v>899.49515251506841</v>
      </c>
      <c r="V338" s="16">
        <v>0.36744083027576324</v>
      </c>
      <c r="W338" s="16">
        <v>1394.1992890483841</v>
      </c>
      <c r="X338" s="16">
        <v>0.56952585336943795</v>
      </c>
      <c r="Z338" s="16">
        <v>0.33600000000000002</v>
      </c>
      <c r="AA338" s="35">
        <v>0.91395452564966218</v>
      </c>
      <c r="AB338" s="23">
        <v>0.20334189383416473</v>
      </c>
      <c r="AC338" s="16">
        <v>2.3631910378720153</v>
      </c>
      <c r="AD338" s="16">
        <v>1</v>
      </c>
    </row>
    <row r="339" spans="20:30" x14ac:dyDescent="0.4">
      <c r="T339" s="16">
        <v>0.33700000000000002</v>
      </c>
      <c r="U339" s="16">
        <v>899.50052230930328</v>
      </c>
      <c r="V339" s="16">
        <v>0.36744302381915983</v>
      </c>
      <c r="W339" s="16">
        <v>1394.3282890483842</v>
      </c>
      <c r="X339" s="16">
        <v>0.56957854944786934</v>
      </c>
      <c r="Z339" s="16">
        <v>0.33700000000000002</v>
      </c>
      <c r="AA339" s="35">
        <v>0.9133260213833625</v>
      </c>
      <c r="AB339" s="23">
        <v>0.20459965212343786</v>
      </c>
      <c r="AC339" s="16">
        <v>2.3605660590289776</v>
      </c>
      <c r="AD339" s="16">
        <v>1</v>
      </c>
    </row>
    <row r="340" spans="20:30" x14ac:dyDescent="0.4">
      <c r="T340" s="16">
        <v>0.33800000000000002</v>
      </c>
      <c r="U340" s="16">
        <v>899.50589210353837</v>
      </c>
      <c r="V340" s="16">
        <v>0.36744521736255653</v>
      </c>
      <c r="W340" s="16">
        <v>1394.4572890483842</v>
      </c>
      <c r="X340" s="16">
        <v>0.56963124552630073</v>
      </c>
      <c r="Z340" s="16">
        <v>0.33800000000000002</v>
      </c>
      <c r="AA340" s="35">
        <v>0.91269751711703107</v>
      </c>
      <c r="AB340" s="23">
        <v>0.20585741041271099</v>
      </c>
      <c r="AC340" s="16">
        <v>2.3579788754538376</v>
      </c>
      <c r="AD340" s="16">
        <v>1</v>
      </c>
    </row>
    <row r="341" spans="20:30" x14ac:dyDescent="0.4">
      <c r="T341" s="16">
        <v>0.33900000000000002</v>
      </c>
      <c r="U341" s="16">
        <v>899.51126189777347</v>
      </c>
      <c r="V341" s="16">
        <v>0.36744741090595323</v>
      </c>
      <c r="W341" s="16">
        <v>1394.5862890483841</v>
      </c>
      <c r="X341" s="16">
        <v>0.56968394160473201</v>
      </c>
      <c r="Z341" s="16">
        <v>0.33900000000000002</v>
      </c>
      <c r="AA341" s="35">
        <v>0.91206901285069963</v>
      </c>
      <c r="AB341" s="23">
        <v>0.20711516870198149</v>
      </c>
      <c r="AC341" s="16">
        <v>2.3554286766997752</v>
      </c>
      <c r="AD341" s="16">
        <v>1</v>
      </c>
    </row>
    <row r="342" spans="20:30" x14ac:dyDescent="0.4">
      <c r="T342" s="16">
        <v>0.34</v>
      </c>
      <c r="U342" s="16">
        <v>899.51663169200856</v>
      </c>
      <c r="V342" s="16">
        <v>0.36744960444934988</v>
      </c>
      <c r="W342" s="16">
        <v>1394.7152890483842</v>
      </c>
      <c r="X342" s="16">
        <v>0.56973663768316352</v>
      </c>
      <c r="Z342" s="16">
        <v>0.34</v>
      </c>
      <c r="AA342" s="35">
        <v>0.91144050858438408</v>
      </c>
      <c r="AB342" s="23">
        <v>0.20837292699125726</v>
      </c>
      <c r="AC342" s="16">
        <v>2.352914675326538</v>
      </c>
      <c r="AD342" s="16">
        <v>1</v>
      </c>
    </row>
    <row r="343" spans="20:30" x14ac:dyDescent="0.4">
      <c r="T343" s="16">
        <v>0.34100000000000003</v>
      </c>
      <c r="U343" s="16">
        <v>899.52200148624365</v>
      </c>
      <c r="V343" s="16">
        <v>0.36745179799274658</v>
      </c>
      <c r="W343" s="16">
        <v>1394.8442890483841</v>
      </c>
      <c r="X343" s="16">
        <v>0.5697893337615948</v>
      </c>
      <c r="Z343" s="16">
        <v>0.34100000000000003</v>
      </c>
      <c r="AA343" s="35">
        <v>0.91081200431805254</v>
      </c>
      <c r="AB343" s="23">
        <v>0.20963068528052775</v>
      </c>
      <c r="AC343" s="16">
        <v>2.3504361060886478</v>
      </c>
      <c r="AD343" s="16">
        <v>1</v>
      </c>
    </row>
    <row r="344" spans="20:30" x14ac:dyDescent="0.4">
      <c r="T344" s="16">
        <v>0.34200000000000003</v>
      </c>
      <c r="U344" s="16">
        <v>899.52737128047875</v>
      </c>
      <c r="V344" s="16">
        <v>0.36745399153614328</v>
      </c>
      <c r="W344" s="16">
        <v>1394.9732890483842</v>
      </c>
      <c r="X344" s="16">
        <v>0.56984202984002619</v>
      </c>
      <c r="Z344" s="16">
        <v>0.34200000000000003</v>
      </c>
      <c r="AA344" s="35">
        <v>0.91018350005172111</v>
      </c>
      <c r="AB344" s="23">
        <v>0.21088844356980088</v>
      </c>
      <c r="AC344" s="16">
        <v>2.3479922251617649</v>
      </c>
      <c r="AD344" s="16">
        <v>1</v>
      </c>
    </row>
    <row r="345" spans="20:30" x14ac:dyDescent="0.4">
      <c r="T345" s="16">
        <v>0.34300000000000003</v>
      </c>
      <c r="U345" s="16">
        <v>899.53274107471361</v>
      </c>
      <c r="V345" s="16">
        <v>0.36745618507953987</v>
      </c>
      <c r="W345" s="16">
        <v>1412.1186514122344</v>
      </c>
      <c r="X345" s="16">
        <v>0.57684585433506308</v>
      </c>
      <c r="Z345" s="16">
        <v>0.34300000000000003</v>
      </c>
      <c r="AA345" s="35">
        <v>0.90955499578542154</v>
      </c>
      <c r="AB345" s="23">
        <v>0.37805682834279863</v>
      </c>
      <c r="AC345" s="16">
        <v>4.1799636323291942</v>
      </c>
      <c r="AD345" s="16">
        <v>1</v>
      </c>
    </row>
    <row r="346" spans="20:30" x14ac:dyDescent="0.4">
      <c r="T346" s="16">
        <v>0.34400000000000003</v>
      </c>
      <c r="U346" s="16">
        <v>899.53811086894871</v>
      </c>
      <c r="V346" s="16">
        <v>0.36745837862293657</v>
      </c>
      <c r="W346" s="16">
        <v>1412.2476514122343</v>
      </c>
      <c r="X346" s="16">
        <v>0.57689855041349436</v>
      </c>
      <c r="Z346" s="16">
        <v>0.34400000000000003</v>
      </c>
      <c r="AA346" s="35">
        <v>0.90892649151909</v>
      </c>
      <c r="AB346" s="23">
        <v>0.37931458663206913</v>
      </c>
      <c r="AC346" s="16">
        <v>4.1649277924938799</v>
      </c>
      <c r="AD346" s="16">
        <v>1</v>
      </c>
    </row>
    <row r="347" spans="20:30" x14ac:dyDescent="0.4">
      <c r="T347" s="16">
        <v>0.34500000000000003</v>
      </c>
      <c r="U347" s="16">
        <v>899.5434806631838</v>
      </c>
      <c r="V347" s="16">
        <v>0.36746057216633327</v>
      </c>
      <c r="W347" s="16">
        <v>1412.3766514122344</v>
      </c>
      <c r="X347" s="16">
        <v>0.57695124649192586</v>
      </c>
      <c r="Z347" s="16">
        <v>0.34500000000000003</v>
      </c>
      <c r="AA347" s="35">
        <v>0.90829798725275857</v>
      </c>
      <c r="AB347" s="23">
        <v>0.3805723449213449</v>
      </c>
      <c r="AC347" s="16">
        <v>4.150098056956697</v>
      </c>
      <c r="AD347" s="16">
        <v>1</v>
      </c>
    </row>
    <row r="348" spans="20:30" x14ac:dyDescent="0.4">
      <c r="T348" s="16">
        <v>0.34600000000000003</v>
      </c>
      <c r="U348" s="16">
        <v>899.54885045741889</v>
      </c>
      <c r="V348" s="16">
        <v>0.36746276570972997</v>
      </c>
      <c r="W348" s="16">
        <v>1412.5056514122343</v>
      </c>
      <c r="X348" s="16">
        <v>0.57700394257035714</v>
      </c>
      <c r="Z348" s="16">
        <v>0.34600000000000003</v>
      </c>
      <c r="AA348" s="35">
        <v>0.90766948298642713</v>
      </c>
      <c r="AB348" s="23">
        <v>0.38183010321061539</v>
      </c>
      <c r="AC348" s="16">
        <v>4.1354702167917594</v>
      </c>
      <c r="AD348" s="16">
        <v>1</v>
      </c>
    </row>
    <row r="349" spans="20:30" x14ac:dyDescent="0.4">
      <c r="T349" s="16">
        <v>0.34700000000000003</v>
      </c>
      <c r="U349" s="16">
        <v>899.55422025165399</v>
      </c>
      <c r="V349" s="16">
        <v>0.36746495925312661</v>
      </c>
      <c r="W349" s="16">
        <v>1412.6346514122345</v>
      </c>
      <c r="X349" s="16">
        <v>0.57705663864878853</v>
      </c>
      <c r="Z349" s="16">
        <v>0.34700000000000003</v>
      </c>
      <c r="AA349" s="35">
        <v>0.90704097872011158</v>
      </c>
      <c r="AB349" s="23">
        <v>0.38308786149988855</v>
      </c>
      <c r="AC349" s="16">
        <v>4.121040176901789</v>
      </c>
      <c r="AD349" s="16">
        <v>1</v>
      </c>
    </row>
    <row r="350" spans="20:30" x14ac:dyDescent="0.4">
      <c r="T350" s="16">
        <v>0.34800000000000003</v>
      </c>
      <c r="U350" s="16">
        <v>899.55959004588885</v>
      </c>
      <c r="V350" s="16">
        <v>0.3674671527965232</v>
      </c>
      <c r="W350" s="16">
        <v>1412.7636514122344</v>
      </c>
      <c r="X350" s="16">
        <v>0.57710933472721992</v>
      </c>
      <c r="Z350" s="16">
        <v>0.34800000000000003</v>
      </c>
      <c r="AA350" s="35">
        <v>0.9064124744538119</v>
      </c>
      <c r="AB350" s="23">
        <v>0.38434561978916165</v>
      </c>
      <c r="AC350" s="16">
        <v>4.1068039521942072</v>
      </c>
      <c r="AD350" s="16">
        <v>1</v>
      </c>
    </row>
    <row r="351" spans="20:30" x14ac:dyDescent="0.4">
      <c r="T351" s="16">
        <v>0.34900000000000003</v>
      </c>
      <c r="U351" s="16">
        <v>899.56495984012395</v>
      </c>
      <c r="V351" s="16">
        <v>0.3674693463399199</v>
      </c>
      <c r="W351" s="16">
        <v>1412.8926514122345</v>
      </c>
      <c r="X351" s="16">
        <v>0.57716203080565132</v>
      </c>
      <c r="Z351" s="16">
        <v>0.34900000000000003</v>
      </c>
      <c r="AA351" s="35">
        <v>0.90578397018748047</v>
      </c>
      <c r="AB351" s="23">
        <v>0.38560337807843481</v>
      </c>
      <c r="AC351" s="16">
        <v>4.0927576639107688</v>
      </c>
      <c r="AD351" s="16">
        <v>1</v>
      </c>
    </row>
    <row r="352" spans="20:30" x14ac:dyDescent="0.4">
      <c r="T352" s="16">
        <v>0.35000000000000003</v>
      </c>
      <c r="U352" s="16">
        <v>899.57032963435904</v>
      </c>
      <c r="V352" s="16">
        <v>0.3674715398833166</v>
      </c>
      <c r="W352" s="16">
        <v>1413.0216514122344</v>
      </c>
      <c r="X352" s="16">
        <v>0.57721472688408271</v>
      </c>
      <c r="Z352" s="16">
        <v>0.35000000000000003</v>
      </c>
      <c r="AA352" s="35">
        <v>0.90515546592114904</v>
      </c>
      <c r="AB352" s="23">
        <v>0.38686113636770797</v>
      </c>
      <c r="AC352" s="16">
        <v>4.0788975361098085</v>
      </c>
      <c r="AD352" s="16">
        <v>1</v>
      </c>
    </row>
    <row r="353" spans="20:30" x14ac:dyDescent="0.4">
      <c r="T353" s="16">
        <v>0.35100000000000003</v>
      </c>
      <c r="U353" s="16">
        <v>899.57569942859413</v>
      </c>
      <c r="V353" s="16">
        <v>0.3674737334267133</v>
      </c>
      <c r="W353" s="16">
        <v>1413.1506514122343</v>
      </c>
      <c r="X353" s="16">
        <v>0.57726742296251399</v>
      </c>
      <c r="Z353" s="16">
        <v>0.35100000000000003</v>
      </c>
      <c r="AA353" s="35">
        <v>0.90452696165481761</v>
      </c>
      <c r="AB353" s="23">
        <v>0.38811889465697841</v>
      </c>
      <c r="AC353" s="16">
        <v>4.0652198922771898</v>
      </c>
      <c r="AD353" s="16">
        <v>1</v>
      </c>
    </row>
    <row r="354" spans="20:30" x14ac:dyDescent="0.4">
      <c r="T354" s="16">
        <v>0.35199999999999998</v>
      </c>
      <c r="U354" s="16">
        <v>899.58106922282923</v>
      </c>
      <c r="V354" s="16">
        <v>0.36747592697011</v>
      </c>
      <c r="W354" s="16">
        <v>1413.2796514122344</v>
      </c>
      <c r="X354" s="16">
        <v>0.57732011904094549</v>
      </c>
      <c r="Z354" s="16">
        <v>0.35199999999999998</v>
      </c>
      <c r="AA354" s="35">
        <v>0.90389845738848618</v>
      </c>
      <c r="AB354" s="23">
        <v>0.38937665294625423</v>
      </c>
      <c r="AC354" s="16">
        <v>4.0517211520765271</v>
      </c>
      <c r="AD354" s="16">
        <v>1</v>
      </c>
    </row>
    <row r="355" spans="20:30" x14ac:dyDescent="0.4">
      <c r="T355" s="16">
        <v>0.35299999999999998</v>
      </c>
      <c r="U355" s="16">
        <v>899.58643901706409</v>
      </c>
      <c r="V355" s="16">
        <v>0.36747812051350659</v>
      </c>
      <c r="W355" s="16">
        <v>1413.4086514122343</v>
      </c>
      <c r="X355" s="16">
        <v>0.57737281511937677</v>
      </c>
      <c r="Z355" s="16">
        <v>0.35299999999999998</v>
      </c>
      <c r="AA355" s="35">
        <v>0.9032699531221865</v>
      </c>
      <c r="AB355" s="23">
        <v>0.39063441123552473</v>
      </c>
      <c r="AC355" s="16">
        <v>4.038397828225623</v>
      </c>
      <c r="AD355" s="16">
        <v>1</v>
      </c>
    </row>
    <row r="356" spans="20:30" x14ac:dyDescent="0.4">
      <c r="T356" s="16">
        <v>0.35399999999999998</v>
      </c>
      <c r="U356" s="16">
        <v>899.59180881129919</v>
      </c>
      <c r="V356" s="16">
        <v>0.36748031405690329</v>
      </c>
      <c r="W356" s="16">
        <v>1413.5376514122345</v>
      </c>
      <c r="X356" s="16">
        <v>0.57742551119780816</v>
      </c>
      <c r="Z356" s="16">
        <v>0.35399999999999998</v>
      </c>
      <c r="AA356" s="35">
        <v>0.90264144885585507</v>
      </c>
      <c r="AB356" s="23">
        <v>0.39189216952479783</v>
      </c>
      <c r="AC356" s="16">
        <v>4.0252465234879979</v>
      </c>
      <c r="AD356" s="16">
        <v>1</v>
      </c>
    </row>
    <row r="357" spans="20:30" x14ac:dyDescent="0.4">
      <c r="T357" s="16">
        <v>0.35499999999999998</v>
      </c>
      <c r="U357" s="16">
        <v>899.59717860553428</v>
      </c>
      <c r="V357" s="16">
        <v>0.36748250760029993</v>
      </c>
      <c r="W357" s="16">
        <v>1413.6666514122344</v>
      </c>
      <c r="X357" s="16">
        <v>0.57747820727623955</v>
      </c>
      <c r="Z357" s="16">
        <v>0.35499999999999998</v>
      </c>
      <c r="AA357" s="35">
        <v>0.90201294458953951</v>
      </c>
      <c r="AB357" s="23">
        <v>0.39314992781407099</v>
      </c>
      <c r="AC357" s="16">
        <v>4.0122639277932697</v>
      </c>
      <c r="AD357" s="16">
        <v>1</v>
      </c>
    </row>
    <row r="358" spans="20:30" x14ac:dyDescent="0.4">
      <c r="T358" s="16">
        <v>0.35599999999999998</v>
      </c>
      <c r="U358" s="16">
        <v>899.60254839976938</v>
      </c>
      <c r="V358" s="16">
        <v>0.36748470114369663</v>
      </c>
      <c r="W358" s="16">
        <v>1413.7956514122343</v>
      </c>
      <c r="X358" s="16">
        <v>0.57753090335467083</v>
      </c>
      <c r="Z358" s="16">
        <v>0.35599999999999998</v>
      </c>
      <c r="AA358" s="35">
        <v>0.90138444032320808</v>
      </c>
      <c r="AB358" s="23">
        <v>0.39440768610334148</v>
      </c>
      <c r="AC358" s="16">
        <v>3.9994468154517908</v>
      </c>
      <c r="AD358" s="16">
        <v>1</v>
      </c>
    </row>
    <row r="359" spans="20:30" x14ac:dyDescent="0.4">
      <c r="T359" s="16">
        <v>0.35699999999999998</v>
      </c>
      <c r="U359" s="16">
        <v>899.60791819400447</v>
      </c>
      <c r="V359" s="16">
        <v>0.36748689468709334</v>
      </c>
      <c r="W359" s="16">
        <v>1413.9246514122344</v>
      </c>
      <c r="X359" s="16">
        <v>0.57758359943310233</v>
      </c>
      <c r="Z359" s="16">
        <v>0.35699999999999998</v>
      </c>
      <c r="AA359" s="35">
        <v>0.90075593605687654</v>
      </c>
      <c r="AB359" s="23">
        <v>0.39566544439261725</v>
      </c>
      <c r="AC359" s="16">
        <v>3.9867920424880241</v>
      </c>
      <c r="AD359" s="16">
        <v>1</v>
      </c>
    </row>
    <row r="360" spans="20:30" x14ac:dyDescent="0.4">
      <c r="T360" s="16">
        <v>0.35799999999999998</v>
      </c>
      <c r="U360" s="16">
        <v>899.61328798823956</v>
      </c>
      <c r="V360" s="16">
        <v>0.36748908823049004</v>
      </c>
      <c r="W360" s="16">
        <v>1414.0536514122343</v>
      </c>
      <c r="X360" s="16">
        <v>0.57763629551153362</v>
      </c>
      <c r="Z360" s="16">
        <v>0.35799999999999998</v>
      </c>
      <c r="AA360" s="35">
        <v>0.90012743179054511</v>
      </c>
      <c r="AB360" s="23">
        <v>0.39692320268188774</v>
      </c>
      <c r="AC360" s="16">
        <v>3.9742965440665539</v>
      </c>
      <c r="AD360" s="16">
        <v>1</v>
      </c>
    </row>
    <row r="361" spans="20:30" x14ac:dyDescent="0.4">
      <c r="T361" s="16">
        <v>0.35899999999999999</v>
      </c>
      <c r="U361" s="16">
        <v>899.61865778247443</v>
      </c>
      <c r="V361" s="16">
        <v>0.36749128177388662</v>
      </c>
      <c r="W361" s="16">
        <v>1414.1826514122345</v>
      </c>
      <c r="X361" s="16">
        <v>0.57768899158996501</v>
      </c>
      <c r="Z361" s="16">
        <v>0.35899999999999999</v>
      </c>
      <c r="AA361" s="35">
        <v>0.89949892752424543</v>
      </c>
      <c r="AB361" s="23">
        <v>0.39818096097116085</v>
      </c>
      <c r="AC361" s="16">
        <v>3.9619573320197174</v>
      </c>
      <c r="AD361" s="16">
        <v>1</v>
      </c>
    </row>
    <row r="362" spans="20:30" x14ac:dyDescent="0.4">
      <c r="T362" s="16">
        <v>0.36</v>
      </c>
      <c r="U362" s="16">
        <v>899.62402757670952</v>
      </c>
      <c r="V362" s="16">
        <v>0.36749347531728332</v>
      </c>
      <c r="W362" s="16">
        <v>1414.3116514122344</v>
      </c>
      <c r="X362" s="16">
        <v>0.5777416876683964</v>
      </c>
      <c r="Z362" s="16">
        <v>0.36</v>
      </c>
      <c r="AA362" s="35">
        <v>0.898870423257914</v>
      </c>
      <c r="AB362" s="23">
        <v>0.39943871926043401</v>
      </c>
      <c r="AC362" s="16">
        <v>3.9497714924599689</v>
      </c>
      <c r="AD362" s="16">
        <v>1</v>
      </c>
    </row>
    <row r="363" spans="20:30" x14ac:dyDescent="0.4">
      <c r="T363" s="16">
        <v>0.36099999999999999</v>
      </c>
      <c r="U363" s="16">
        <v>899.62939737094462</v>
      </c>
      <c r="V363" s="16">
        <v>0.36749566886067997</v>
      </c>
      <c r="W363" s="16">
        <v>1414.4406514122345</v>
      </c>
      <c r="X363" s="16">
        <v>0.57779438374682779</v>
      </c>
      <c r="Z363" s="16">
        <v>0.36099999999999999</v>
      </c>
      <c r="AA363" s="35">
        <v>0.89824191899159844</v>
      </c>
      <c r="AB363" s="23">
        <v>0.40069647754970711</v>
      </c>
      <c r="AC363" s="16">
        <v>3.9377361834941049</v>
      </c>
      <c r="AD363" s="16">
        <v>1</v>
      </c>
    </row>
    <row r="364" spans="20:30" x14ac:dyDescent="0.4">
      <c r="T364" s="16">
        <v>0.36199999999999999</v>
      </c>
      <c r="U364" s="16">
        <v>899.63476716517971</v>
      </c>
      <c r="V364" s="16">
        <v>0.36749786240407667</v>
      </c>
      <c r="W364" s="16">
        <v>1414.5696514122344</v>
      </c>
      <c r="X364" s="16">
        <v>0.57784707982525918</v>
      </c>
      <c r="Z364" s="16">
        <v>0.36199999999999999</v>
      </c>
      <c r="AA364" s="35">
        <v>0.89761341472526701</v>
      </c>
      <c r="AB364" s="23">
        <v>0.40195423583898027</v>
      </c>
      <c r="AC364" s="16">
        <v>3.9258486330061713</v>
      </c>
      <c r="AD364" s="16">
        <v>1</v>
      </c>
    </row>
    <row r="365" spans="20:30" x14ac:dyDescent="0.4">
      <c r="T365" s="16">
        <v>0.36299999999999999</v>
      </c>
      <c r="U365" s="16">
        <v>899.6401369594148</v>
      </c>
      <c r="V365" s="16">
        <v>0.36750005594747337</v>
      </c>
      <c r="W365" s="16">
        <v>1414.6986514122343</v>
      </c>
      <c r="X365" s="16">
        <v>0.57789977590369046</v>
      </c>
      <c r="Z365" s="16">
        <v>0.36299999999999999</v>
      </c>
      <c r="AA365" s="35">
        <v>0.89698491045893558</v>
      </c>
      <c r="AB365" s="23">
        <v>0.40321199412825076</v>
      </c>
      <c r="AC365" s="16">
        <v>3.9141061365337189</v>
      </c>
      <c r="AD365" s="16">
        <v>1</v>
      </c>
    </row>
    <row r="366" spans="20:30" x14ac:dyDescent="0.4">
      <c r="T366" s="16">
        <v>0.36399999999999999</v>
      </c>
      <c r="U366" s="16">
        <v>899.6455067536499</v>
      </c>
      <c r="V366" s="16">
        <v>0.36750224949087007</v>
      </c>
      <c r="W366" s="16">
        <v>1414.8276514122344</v>
      </c>
      <c r="X366" s="16">
        <v>0.57795247198212196</v>
      </c>
      <c r="Z366" s="16">
        <v>0.36399999999999999</v>
      </c>
      <c r="AA366" s="35">
        <v>0.89635640619260415</v>
      </c>
      <c r="AB366" s="23">
        <v>0.40446975241752653</v>
      </c>
      <c r="AC366" s="16">
        <v>3.9025060552142317</v>
      </c>
      <c r="AD366" s="16">
        <v>1</v>
      </c>
    </row>
    <row r="367" spans="20:30" x14ac:dyDescent="0.4">
      <c r="T367" s="16">
        <v>0.36499999999999999</v>
      </c>
      <c r="U367" s="16">
        <v>899.65087654788476</v>
      </c>
      <c r="V367" s="16">
        <v>0.36750444303426666</v>
      </c>
      <c r="W367" s="16">
        <v>1414.9566514122344</v>
      </c>
      <c r="X367" s="16">
        <v>0.57800516806055324</v>
      </c>
      <c r="Z367" s="16">
        <v>0.36499999999999999</v>
      </c>
      <c r="AA367" s="35">
        <v>0.89572790192630447</v>
      </c>
      <c r="AB367" s="23">
        <v>0.40572751070679702</v>
      </c>
      <c r="AC367" s="16">
        <v>3.8910458138095998</v>
      </c>
      <c r="AD367" s="16">
        <v>1</v>
      </c>
    </row>
    <row r="368" spans="20:30" x14ac:dyDescent="0.4">
      <c r="T368" s="16">
        <v>0.36599999999999999</v>
      </c>
      <c r="U368" s="16">
        <v>899.65624634211986</v>
      </c>
      <c r="V368" s="16">
        <v>0.36750663657766336</v>
      </c>
      <c r="W368" s="16">
        <v>1415.0856514122345</v>
      </c>
      <c r="X368" s="16">
        <v>0.57805786413898463</v>
      </c>
      <c r="Z368" s="16">
        <v>0.36599999999999999</v>
      </c>
      <c r="AA368" s="35">
        <v>0.89509939765997304</v>
      </c>
      <c r="AB368" s="23">
        <v>0.40698526899607013</v>
      </c>
      <c r="AC368" s="16">
        <v>3.8797228987957548</v>
      </c>
      <c r="AD368" s="16">
        <v>1</v>
      </c>
    </row>
    <row r="369" spans="20:30" x14ac:dyDescent="0.4">
      <c r="T369" s="16">
        <v>0.36699999999999999</v>
      </c>
      <c r="U369" s="16">
        <v>899.66161613635495</v>
      </c>
      <c r="V369" s="16">
        <v>0.36750883012106</v>
      </c>
      <c r="W369" s="16">
        <v>1415.2146514122344</v>
      </c>
      <c r="X369" s="16">
        <v>0.57811056021741603</v>
      </c>
      <c r="Z369" s="16">
        <v>0.36699999999999999</v>
      </c>
      <c r="AA369" s="35">
        <v>0.89447089339365748</v>
      </c>
      <c r="AB369" s="23">
        <v>0.40824302728534329</v>
      </c>
      <c r="AC369" s="16">
        <v>3.8685348565322455</v>
      </c>
      <c r="AD369" s="16">
        <v>1</v>
      </c>
    </row>
    <row r="370" spans="20:30" x14ac:dyDescent="0.4">
      <c r="T370" s="16">
        <v>0.36799999999999999</v>
      </c>
      <c r="U370" s="16">
        <v>899.66698593059004</v>
      </c>
      <c r="V370" s="16">
        <v>0.3675110236644567</v>
      </c>
      <c r="W370" s="16">
        <v>1415.3436514122343</v>
      </c>
      <c r="X370" s="16">
        <v>0.57816325629584731</v>
      </c>
      <c r="Z370" s="16">
        <v>0.36799999999999999</v>
      </c>
      <c r="AA370" s="35">
        <v>0.89384238912732605</v>
      </c>
      <c r="AB370" s="23">
        <v>0.40950078557461378</v>
      </c>
      <c r="AC370" s="16">
        <v>3.8574792914826559</v>
      </c>
      <c r="AD370" s="16">
        <v>1</v>
      </c>
    </row>
    <row r="371" spans="20:30" x14ac:dyDescent="0.4">
      <c r="T371" s="16">
        <v>0.36899999999999999</v>
      </c>
      <c r="U371" s="16">
        <v>899.67235572482514</v>
      </c>
      <c r="V371" s="16">
        <v>0.3675132172078534</v>
      </c>
      <c r="W371" s="16">
        <v>1415.4726514122344</v>
      </c>
      <c r="X371" s="16">
        <v>0.57821595237427881</v>
      </c>
      <c r="Z371" s="16">
        <v>0.36899999999999999</v>
      </c>
      <c r="AA371" s="35">
        <v>0.89321388486099462</v>
      </c>
      <c r="AB371" s="23">
        <v>0.41075854386388955</v>
      </c>
      <c r="AC371" s="16">
        <v>3.846553864509425</v>
      </c>
      <c r="AD371" s="16">
        <v>1</v>
      </c>
    </row>
    <row r="372" spans="20:30" x14ac:dyDescent="0.4">
      <c r="T372" s="16">
        <v>0.37</v>
      </c>
      <c r="U372" s="16">
        <v>899.67772551906</v>
      </c>
      <c r="V372" s="16">
        <v>0.36751541075124999</v>
      </c>
      <c r="W372" s="16">
        <v>1415.6016514122343</v>
      </c>
      <c r="X372" s="16">
        <v>0.57826864845271009</v>
      </c>
      <c r="Z372" s="16">
        <v>0.37</v>
      </c>
      <c r="AA372" s="35">
        <v>0.89258538059469494</v>
      </c>
      <c r="AB372" s="23">
        <v>0.41201630215316004</v>
      </c>
      <c r="AC372" s="16">
        <v>3.8357562912224137</v>
      </c>
      <c r="AD372" s="16">
        <v>1</v>
      </c>
    </row>
    <row r="373" spans="20:30" x14ac:dyDescent="0.4">
      <c r="T373" s="16">
        <v>0.371</v>
      </c>
      <c r="U373" s="16">
        <v>899.6830953132951</v>
      </c>
      <c r="V373" s="16">
        <v>0.36751760429464669</v>
      </c>
      <c r="W373" s="16">
        <v>1415.7306514122345</v>
      </c>
      <c r="X373" s="16">
        <v>0.57832134453114148</v>
      </c>
      <c r="Z373" s="16">
        <v>0.371</v>
      </c>
      <c r="AA373" s="35">
        <v>0.89195687632836351</v>
      </c>
      <c r="AB373" s="23">
        <v>0.4132740604424332</v>
      </c>
      <c r="AC373" s="16">
        <v>3.825084340382932</v>
      </c>
      <c r="AD373" s="16">
        <v>1</v>
      </c>
    </row>
    <row r="374" spans="20:30" x14ac:dyDescent="0.4">
      <c r="T374" s="16">
        <v>0.372</v>
      </c>
      <c r="U374" s="16">
        <v>899.68846510753019</v>
      </c>
      <c r="V374" s="16">
        <v>0.36751979783804339</v>
      </c>
      <c r="W374" s="16">
        <v>1415.8596514122344</v>
      </c>
      <c r="X374" s="16">
        <v>0.57837404060957287</v>
      </c>
      <c r="Z374" s="16">
        <v>0.372</v>
      </c>
      <c r="AA374" s="35">
        <v>0.89132837206203197</v>
      </c>
      <c r="AB374" s="23">
        <v>0.4145318187317063</v>
      </c>
      <c r="AC374" s="16">
        <v>3.8145358323731884</v>
      </c>
      <c r="AD374" s="16">
        <v>1</v>
      </c>
    </row>
    <row r="375" spans="20:30" x14ac:dyDescent="0.4">
      <c r="T375" s="16">
        <v>0.373</v>
      </c>
      <c r="U375" s="16">
        <v>899.69383490176529</v>
      </c>
      <c r="V375" s="16">
        <v>0.36752199138144009</v>
      </c>
      <c r="W375" s="16">
        <v>1415.9886514122345</v>
      </c>
      <c r="X375" s="16">
        <v>0.57842673668800426</v>
      </c>
      <c r="Z375" s="16">
        <v>0.373</v>
      </c>
      <c r="AA375" s="35">
        <v>0.89069986779570054</v>
      </c>
      <c r="AB375" s="23">
        <v>0.41578957702097946</v>
      </c>
      <c r="AC375" s="16">
        <v>3.8041086377077944</v>
      </c>
      <c r="AD375" s="16">
        <v>1</v>
      </c>
    </row>
    <row r="376" spans="20:30" x14ac:dyDescent="0.4">
      <c r="T376" s="16">
        <v>0.374</v>
      </c>
      <c r="U376" s="16">
        <v>899.69920469600038</v>
      </c>
      <c r="V376" s="16">
        <v>0.36752418492483674</v>
      </c>
      <c r="W376" s="16">
        <v>1416.1176514122344</v>
      </c>
      <c r="X376" s="16">
        <v>0.57847943276643565</v>
      </c>
      <c r="Z376" s="16">
        <v>0.374</v>
      </c>
      <c r="AA376" s="35">
        <v>0.89007136352938498</v>
      </c>
      <c r="AB376" s="23">
        <v>0.41704733531025256</v>
      </c>
      <c r="AC376" s="16">
        <v>3.7938006756022427</v>
      </c>
      <c r="AD376" s="16">
        <v>1</v>
      </c>
    </row>
    <row r="377" spans="20:30" x14ac:dyDescent="0.4">
      <c r="T377" s="16">
        <v>0.375</v>
      </c>
      <c r="U377" s="16">
        <v>899.70457449023525</v>
      </c>
      <c r="V377" s="16">
        <v>0.36752637846823333</v>
      </c>
      <c r="W377" s="16">
        <v>1416.2466514122343</v>
      </c>
      <c r="X377" s="16">
        <v>0.57853212884486693</v>
      </c>
      <c r="Z377" s="16">
        <v>0.375</v>
      </c>
      <c r="AA377" s="35">
        <v>0.88944285926308542</v>
      </c>
      <c r="AB377" s="23">
        <v>0.41830509359952306</v>
      </c>
      <c r="AC377" s="16">
        <v>3.7836099125875156</v>
      </c>
      <c r="AD377" s="16">
        <v>1</v>
      </c>
    </row>
    <row r="378" spans="20:30" x14ac:dyDescent="0.4">
      <c r="T378" s="16">
        <v>0.376</v>
      </c>
      <c r="U378" s="16">
        <v>899.70994428447034</v>
      </c>
      <c r="V378" s="16">
        <v>0.36752857201163003</v>
      </c>
      <c r="W378" s="16">
        <v>1416.3756514122344</v>
      </c>
      <c r="X378" s="16">
        <v>0.57858482492329844</v>
      </c>
      <c r="Z378" s="16">
        <v>0.376</v>
      </c>
      <c r="AA378" s="35">
        <v>0.88881435499675387</v>
      </c>
      <c r="AB378" s="23">
        <v>0.41956285188879883</v>
      </c>
      <c r="AC378" s="16">
        <v>3.7735343611717993</v>
      </c>
      <c r="AD378" s="16">
        <v>1</v>
      </c>
    </row>
    <row r="379" spans="20:30" x14ac:dyDescent="0.4">
      <c r="T379" s="16">
        <v>0.377</v>
      </c>
      <c r="U379" s="16">
        <v>899.71531407870543</v>
      </c>
      <c r="V379" s="16">
        <v>0.36753076555502673</v>
      </c>
      <c r="W379" s="16">
        <v>1416.5046514122344</v>
      </c>
      <c r="X379" s="16">
        <v>0.57863752100172972</v>
      </c>
      <c r="Z379" s="16">
        <v>0.377</v>
      </c>
      <c r="AA379" s="35">
        <v>0.88818585073042244</v>
      </c>
      <c r="AB379" s="23">
        <v>0.42082061017806932</v>
      </c>
      <c r="AC379" s="16">
        <v>3.763572078552373</v>
      </c>
      <c r="AD379" s="16">
        <v>1</v>
      </c>
    </row>
    <row r="380" spans="20:30" x14ac:dyDescent="0.4">
      <c r="T380" s="16">
        <v>0.378</v>
      </c>
      <c r="U380" s="16">
        <v>899.72068387294053</v>
      </c>
      <c r="V380" s="16">
        <v>0.36753295909842343</v>
      </c>
      <c r="W380" s="16">
        <v>1416.6336514122345</v>
      </c>
      <c r="X380" s="16">
        <v>0.57869021708016111</v>
      </c>
      <c r="Z380" s="16">
        <v>0.378</v>
      </c>
      <c r="AA380" s="35">
        <v>0.88755734646409101</v>
      </c>
      <c r="AB380" s="23">
        <v>0.42207836846734248</v>
      </c>
      <c r="AC380" s="16">
        <v>3.753721165363197</v>
      </c>
      <c r="AD380" s="16">
        <v>1</v>
      </c>
    </row>
    <row r="381" spans="20:30" x14ac:dyDescent="0.4">
      <c r="T381" s="16">
        <v>0.379</v>
      </c>
      <c r="U381" s="16">
        <v>899.72605366717562</v>
      </c>
      <c r="V381" s="16">
        <v>0.36753515264182013</v>
      </c>
      <c r="W381" s="16">
        <v>1416.7626514122344</v>
      </c>
      <c r="X381" s="16">
        <v>0.5787429131585925</v>
      </c>
      <c r="Z381" s="16">
        <v>0.379</v>
      </c>
      <c r="AA381" s="35">
        <v>0.88692884219775958</v>
      </c>
      <c r="AB381" s="23">
        <v>0.42333612675661558</v>
      </c>
      <c r="AC381" s="16">
        <v>3.7439797644685258</v>
      </c>
      <c r="AD381" s="16">
        <v>1</v>
      </c>
    </row>
    <row r="382" spans="20:30" x14ac:dyDescent="0.4">
      <c r="T382" s="16">
        <v>0.38</v>
      </c>
      <c r="U382" s="16">
        <v>899.73142346141071</v>
      </c>
      <c r="V382" s="16">
        <v>0.36753734618521677</v>
      </c>
      <c r="W382" s="16">
        <v>1416.8916514122343</v>
      </c>
      <c r="X382" s="16">
        <v>0.57879560923702378</v>
      </c>
      <c r="Z382" s="16">
        <v>0.38</v>
      </c>
      <c r="AA382" s="35">
        <v>0.88630033793144403</v>
      </c>
      <c r="AB382" s="23">
        <v>0.42459388504588608</v>
      </c>
      <c r="AC382" s="16">
        <v>3.7343460597963287</v>
      </c>
      <c r="AD382" s="16">
        <v>1</v>
      </c>
    </row>
    <row r="383" spans="20:30" x14ac:dyDescent="0.4">
      <c r="T383" s="16">
        <v>0.38100000000000001</v>
      </c>
      <c r="U383" s="16">
        <v>899.73679325564558</v>
      </c>
      <c r="V383" s="16">
        <v>0.36753953972861342</v>
      </c>
      <c r="W383" s="16">
        <v>1417.0206514122344</v>
      </c>
      <c r="X383" s="16">
        <v>0.57884830531545528</v>
      </c>
      <c r="Z383" s="16">
        <v>0.38100000000000001</v>
      </c>
      <c r="AA383" s="35">
        <v>0.88567183366512847</v>
      </c>
      <c r="AB383" s="23">
        <v>0.4258516433351619</v>
      </c>
      <c r="AC383" s="16">
        <v>3.7248182752081087</v>
      </c>
      <c r="AD383" s="16">
        <v>1</v>
      </c>
    </row>
    <row r="384" spans="20:30" x14ac:dyDescent="0.4">
      <c r="T384" s="16">
        <v>0.38200000000000001</v>
      </c>
      <c r="U384" s="16">
        <v>899.74216304988067</v>
      </c>
      <c r="V384" s="16">
        <v>0.36754173327201006</v>
      </c>
      <c r="W384" s="16">
        <v>1417.1496514122343</v>
      </c>
      <c r="X384" s="16">
        <v>0.57890100139388656</v>
      </c>
      <c r="Z384" s="16">
        <v>0.38200000000000001</v>
      </c>
      <c r="AA384" s="35">
        <v>0.88504332939881292</v>
      </c>
      <c r="AB384" s="23">
        <v>0.42710940162443234</v>
      </c>
      <c r="AC384" s="16">
        <v>3.715394673408555</v>
      </c>
      <c r="AD384" s="16">
        <v>1</v>
      </c>
    </row>
    <row r="385" spans="20:30" x14ac:dyDescent="0.4">
      <c r="T385" s="16">
        <v>0.38300000000000001</v>
      </c>
      <c r="U385" s="16">
        <v>899.74753284411577</v>
      </c>
      <c r="V385" s="16">
        <v>0.36754392681540676</v>
      </c>
      <c r="W385" s="16">
        <v>1417.2786514122345</v>
      </c>
      <c r="X385" s="16">
        <v>0.57895369747231795</v>
      </c>
      <c r="Z385" s="16">
        <v>0.38300000000000001</v>
      </c>
      <c r="AA385" s="35">
        <v>0.88441482513248149</v>
      </c>
      <c r="AB385" s="23">
        <v>0.4283671599137055</v>
      </c>
      <c r="AC385" s="16">
        <v>3.7060735548887789</v>
      </c>
      <c r="AD385" s="16">
        <v>1</v>
      </c>
    </row>
    <row r="386" spans="20:30" x14ac:dyDescent="0.4">
      <c r="T386" s="16">
        <v>0.38400000000000001</v>
      </c>
      <c r="U386" s="16">
        <v>899.75290263835086</v>
      </c>
      <c r="V386" s="16">
        <v>0.36754612035880346</v>
      </c>
      <c r="W386" s="16">
        <v>1417.4076514122344</v>
      </c>
      <c r="X386" s="16">
        <v>0.57900639355074934</v>
      </c>
      <c r="Z386" s="16">
        <v>0.38400000000000001</v>
      </c>
      <c r="AA386" s="35">
        <v>0.88378632086615005</v>
      </c>
      <c r="AB386" s="23">
        <v>0.42962491820297866</v>
      </c>
      <c r="AC386" s="16">
        <v>3.6968532569057988</v>
      </c>
      <c r="AD386" s="16">
        <v>1</v>
      </c>
    </row>
    <row r="387" spans="20:30" x14ac:dyDescent="0.4">
      <c r="T387" s="16">
        <v>0.38500000000000001</v>
      </c>
      <c r="U387" s="16">
        <v>899.75827243258595</v>
      </c>
      <c r="V387" s="16">
        <v>0.36754831390220016</v>
      </c>
      <c r="W387" s="16">
        <v>1417.5366514122345</v>
      </c>
      <c r="X387" s="16">
        <v>0.57905908962918073</v>
      </c>
      <c r="Z387" s="16">
        <v>0.38500000000000001</v>
      </c>
      <c r="AA387" s="35">
        <v>0.88315781659981851</v>
      </c>
      <c r="AB387" s="23">
        <v>0.43088267649225176</v>
      </c>
      <c r="AC387" s="16">
        <v>3.6877321524923032</v>
      </c>
      <c r="AD387" s="16">
        <v>1</v>
      </c>
    </row>
    <row r="388" spans="20:30" x14ac:dyDescent="0.4">
      <c r="T388" s="16">
        <v>0.38600000000000001</v>
      </c>
      <c r="U388" s="16">
        <v>899.76364222682105</v>
      </c>
      <c r="V388" s="16">
        <v>0.36755050744559681</v>
      </c>
      <c r="W388" s="16">
        <v>1417.6656514122344</v>
      </c>
      <c r="X388" s="16">
        <v>0.57911178570761213</v>
      </c>
      <c r="Z388" s="16">
        <v>0.38600000000000001</v>
      </c>
      <c r="AA388" s="35">
        <v>0.88252931233350307</v>
      </c>
      <c r="AB388" s="23">
        <v>0.43214043478152492</v>
      </c>
      <c r="AC388" s="16">
        <v>3.6787086495005932</v>
      </c>
      <c r="AD388" s="16">
        <v>1</v>
      </c>
    </row>
    <row r="389" spans="20:30" x14ac:dyDescent="0.4">
      <c r="T389" s="16">
        <v>0.38700000000000001</v>
      </c>
      <c r="U389" s="16">
        <v>899.76901202105591</v>
      </c>
      <c r="V389" s="16">
        <v>0.36755270098899345</v>
      </c>
      <c r="W389" s="16">
        <v>1417.7946514122343</v>
      </c>
      <c r="X389" s="16">
        <v>0.57916448178604341</v>
      </c>
      <c r="Z389" s="16">
        <v>0.38700000000000001</v>
      </c>
      <c r="AA389" s="35">
        <v>0.88190080806718751</v>
      </c>
      <c r="AB389" s="23">
        <v>0.43339819307079536</v>
      </c>
      <c r="AC389" s="16">
        <v>3.6697811896745138</v>
      </c>
      <c r="AD389" s="16">
        <v>1</v>
      </c>
    </row>
    <row r="390" spans="20:30" x14ac:dyDescent="0.4">
      <c r="T390" s="16">
        <v>0.38800000000000001</v>
      </c>
      <c r="U390" s="16">
        <v>899.77438181529101</v>
      </c>
      <c r="V390" s="16">
        <v>0.3675548945323901</v>
      </c>
      <c r="W390" s="16">
        <v>1417.9236514122344</v>
      </c>
      <c r="X390" s="16">
        <v>0.57921717786447491</v>
      </c>
      <c r="Z390" s="16">
        <v>0.38800000000000001</v>
      </c>
      <c r="AA390" s="35">
        <v>0.88127230380087196</v>
      </c>
      <c r="AB390" s="23">
        <v>0.43465595136007118</v>
      </c>
      <c r="AC390" s="16">
        <v>3.6609482477540349</v>
      </c>
      <c r="AD390" s="16">
        <v>1</v>
      </c>
    </row>
    <row r="391" spans="20:30" x14ac:dyDescent="0.4">
      <c r="T391" s="16">
        <v>0.38900000000000001</v>
      </c>
      <c r="U391" s="16">
        <v>899.7797516095261</v>
      </c>
      <c r="V391" s="16">
        <v>0.3675570880757868</v>
      </c>
      <c r="W391" s="16">
        <v>1418.0526514122344</v>
      </c>
      <c r="X391" s="16">
        <v>0.57926987394290619</v>
      </c>
      <c r="Z391" s="16">
        <v>0.38900000000000001</v>
      </c>
      <c r="AA391" s="35">
        <v>0.88064379953454042</v>
      </c>
      <c r="AB391" s="23">
        <v>0.43591370964934167</v>
      </c>
      <c r="AC391" s="16">
        <v>3.6522083306052497</v>
      </c>
      <c r="AD391" s="16">
        <v>1</v>
      </c>
    </row>
    <row r="392" spans="20:30" x14ac:dyDescent="0.4">
      <c r="T392" s="16">
        <v>0.39</v>
      </c>
      <c r="U392" s="16">
        <v>899.7851214037612</v>
      </c>
      <c r="V392" s="16">
        <v>0.3675592816191835</v>
      </c>
      <c r="W392" s="16">
        <v>1418.1816514122345</v>
      </c>
      <c r="X392" s="16">
        <v>0.57932257002133758</v>
      </c>
      <c r="Z392" s="16">
        <v>0.39</v>
      </c>
      <c r="AA392" s="35">
        <v>0.88001529526820899</v>
      </c>
      <c r="AB392" s="23">
        <v>0.43717146793861478</v>
      </c>
      <c r="AC392" s="16">
        <v>3.6435599763807422</v>
      </c>
      <c r="AD392" s="16">
        <v>1</v>
      </c>
    </row>
    <row r="393" spans="20:30" x14ac:dyDescent="0.4">
      <c r="T393" s="16">
        <v>0.39100000000000001</v>
      </c>
      <c r="U393" s="16">
        <v>899.79049119799629</v>
      </c>
      <c r="V393" s="16">
        <v>0.3675614751625802</v>
      </c>
      <c r="W393" s="16">
        <v>1418.3106514122344</v>
      </c>
      <c r="X393" s="16">
        <v>0.57937526609976897</v>
      </c>
      <c r="Z393" s="16">
        <v>0.39100000000000001</v>
      </c>
      <c r="AA393" s="35">
        <v>0.87938679100187755</v>
      </c>
      <c r="AB393" s="23">
        <v>0.43842922622788794</v>
      </c>
      <c r="AC393" s="16">
        <v>3.6350017537027215</v>
      </c>
      <c r="AD393" s="16">
        <v>1</v>
      </c>
    </row>
    <row r="394" spans="20:30" x14ac:dyDescent="0.4">
      <c r="T394" s="16">
        <v>0.39200000000000002</v>
      </c>
      <c r="U394" s="16">
        <v>899.79586099223116</v>
      </c>
      <c r="V394" s="16">
        <v>0.36756366870597679</v>
      </c>
      <c r="W394" s="16">
        <v>1418.4396514122343</v>
      </c>
      <c r="X394" s="16">
        <v>0.57942796217820025</v>
      </c>
      <c r="Z394" s="16">
        <v>0.39200000000000002</v>
      </c>
      <c r="AA394" s="35">
        <v>0.87875828673557788</v>
      </c>
      <c r="AB394" s="23">
        <v>0.43968698451715843</v>
      </c>
      <c r="AC394" s="16">
        <v>3.6265322608747952</v>
      </c>
      <c r="AD394" s="16">
        <v>1</v>
      </c>
    </row>
    <row r="395" spans="20:30" x14ac:dyDescent="0.4">
      <c r="T395" s="16">
        <v>0.39300000000000002</v>
      </c>
      <c r="U395" s="16">
        <v>899.80123078646625</v>
      </c>
      <c r="V395" s="16">
        <v>0.36756586224937349</v>
      </c>
      <c r="W395" s="16">
        <v>1418.5686514122344</v>
      </c>
      <c r="X395" s="16">
        <v>0.57948065825663175</v>
      </c>
      <c r="Z395" s="16">
        <v>0.39300000000000002</v>
      </c>
      <c r="AA395" s="35">
        <v>0.87812978246924644</v>
      </c>
      <c r="AB395" s="23">
        <v>0.4409447428064342</v>
      </c>
      <c r="AC395" s="16">
        <v>3.6181501251129156</v>
      </c>
      <c r="AD395" s="16">
        <v>1</v>
      </c>
    </row>
    <row r="396" spans="20:30" x14ac:dyDescent="0.4">
      <c r="T396" s="16">
        <v>0.39400000000000002</v>
      </c>
      <c r="U396" s="16">
        <v>899.80660058070134</v>
      </c>
      <c r="V396" s="16">
        <v>0.36756805579277013</v>
      </c>
      <c r="W396" s="16">
        <v>1418.6976514122343</v>
      </c>
      <c r="X396" s="16">
        <v>0.57953335433506303</v>
      </c>
      <c r="Z396" s="16">
        <v>0.39400000000000002</v>
      </c>
      <c r="AA396" s="35">
        <v>0.87750127820293089</v>
      </c>
      <c r="AB396" s="23">
        <v>0.44220250109570469</v>
      </c>
      <c r="AC396" s="16">
        <v>3.6098540018095502</v>
      </c>
      <c r="AD396" s="16">
        <v>1</v>
      </c>
    </row>
    <row r="397" spans="20:30" x14ac:dyDescent="0.4">
      <c r="T397" s="16">
        <v>0.39500000000000002</v>
      </c>
      <c r="U397" s="16">
        <v>899.81197037493644</v>
      </c>
      <c r="V397" s="16">
        <v>0.36757024933616683</v>
      </c>
      <c r="W397" s="16">
        <v>1418.8266514122345</v>
      </c>
      <c r="X397" s="16">
        <v>0.57958605041349442</v>
      </c>
      <c r="Z397" s="16">
        <v>0.39500000000000002</v>
      </c>
      <c r="AA397" s="35">
        <v>0.87687277393659946</v>
      </c>
      <c r="AB397" s="23">
        <v>0.4434602593849778</v>
      </c>
      <c r="AC397" s="16">
        <v>3.6016425738092379</v>
      </c>
      <c r="AD397" s="16">
        <v>1</v>
      </c>
    </row>
    <row r="398" spans="20:30" x14ac:dyDescent="0.4">
      <c r="T398" s="16">
        <v>0.39600000000000002</v>
      </c>
      <c r="U398" s="16">
        <v>899.81734016917153</v>
      </c>
      <c r="V398" s="16">
        <v>0.36757244287956353</v>
      </c>
      <c r="W398" s="16">
        <v>1418.9556514122344</v>
      </c>
      <c r="X398" s="16">
        <v>0.57963874649192582</v>
      </c>
      <c r="Z398" s="16">
        <v>0.39600000000000002</v>
      </c>
      <c r="AA398" s="35">
        <v>0.87624426967026803</v>
      </c>
      <c r="AB398" s="23">
        <v>0.44471801767425095</v>
      </c>
      <c r="AC398" s="16">
        <v>3.5935145507149797</v>
      </c>
      <c r="AD398" s="16">
        <v>1</v>
      </c>
    </row>
    <row r="399" spans="20:30" x14ac:dyDescent="0.4">
      <c r="T399" s="16">
        <v>0.39700000000000002</v>
      </c>
      <c r="U399" s="16">
        <v>899.82270996340662</v>
      </c>
      <c r="V399" s="16">
        <v>0.36757463642296023</v>
      </c>
      <c r="W399" s="16">
        <v>1419.0846514122345</v>
      </c>
      <c r="X399" s="16">
        <v>0.57969144257035721</v>
      </c>
      <c r="Z399" s="16">
        <v>0.39700000000000002</v>
      </c>
      <c r="AA399" s="35">
        <v>0.8756157654039366</v>
      </c>
      <c r="AB399" s="23">
        <v>0.44597577596352406</v>
      </c>
      <c r="AC399" s="16">
        <v>3.5854686682104533</v>
      </c>
      <c r="AD399" s="16">
        <v>1</v>
      </c>
    </row>
    <row r="400" spans="20:30" x14ac:dyDescent="0.4">
      <c r="T400" s="16">
        <v>0.39800000000000002</v>
      </c>
      <c r="U400" s="16">
        <v>899.82807975764149</v>
      </c>
      <c r="V400" s="16">
        <v>0.36757682996635682</v>
      </c>
      <c r="W400" s="16">
        <v>1419.2136514122344</v>
      </c>
      <c r="X400" s="16">
        <v>0.5797441386487886</v>
      </c>
      <c r="Z400" s="16">
        <v>0.39800000000000002</v>
      </c>
      <c r="AA400" s="35">
        <v>0.87498726113763692</v>
      </c>
      <c r="AB400" s="23">
        <v>0.44723353425279722</v>
      </c>
      <c r="AC400" s="16">
        <v>3.5775036874057595</v>
      </c>
      <c r="AD400" s="16">
        <v>1</v>
      </c>
    </row>
    <row r="401" spans="20:30" x14ac:dyDescent="0.4">
      <c r="T401" s="16">
        <v>0.39900000000000002</v>
      </c>
      <c r="U401" s="16">
        <v>899.83344955187658</v>
      </c>
      <c r="V401" s="16">
        <v>0.36757902350975352</v>
      </c>
      <c r="W401" s="16">
        <v>1419.3426514122343</v>
      </c>
      <c r="X401" s="16">
        <v>0.57979683472721988</v>
      </c>
      <c r="Z401" s="16">
        <v>0.39900000000000002</v>
      </c>
      <c r="AA401" s="35">
        <v>0.87435875687130549</v>
      </c>
      <c r="AB401" s="23">
        <v>0.44849129254206771</v>
      </c>
      <c r="AC401" s="16">
        <v>3.5696183941978146</v>
      </c>
      <c r="AD401" s="16">
        <v>1</v>
      </c>
    </row>
    <row r="402" spans="20:30" x14ac:dyDescent="0.4">
      <c r="T402" s="16">
        <v>0.4</v>
      </c>
      <c r="U402" s="16">
        <v>899.83881934611168</v>
      </c>
      <c r="V402" s="16">
        <v>0.36758121705315022</v>
      </c>
      <c r="W402" s="16">
        <v>1419.4716514122345</v>
      </c>
      <c r="X402" s="16">
        <v>0.57984953080565138</v>
      </c>
      <c r="Z402" s="16">
        <v>0.4</v>
      </c>
      <c r="AA402" s="35">
        <v>0.87373025260497406</v>
      </c>
      <c r="AB402" s="23">
        <v>0.44974905083134348</v>
      </c>
      <c r="AC402" s="16">
        <v>3.5618115986589842</v>
      </c>
      <c r="AD402" s="16">
        <v>1</v>
      </c>
    </row>
    <row r="403" spans="20:30" x14ac:dyDescent="0.4">
      <c r="T403" s="16">
        <v>0.40100000000000002</v>
      </c>
      <c r="U403" s="16">
        <v>899.84418914034677</v>
      </c>
      <c r="V403" s="16">
        <v>0.36758341059654687</v>
      </c>
      <c r="W403" s="16">
        <v>1419.6006514122344</v>
      </c>
      <c r="X403" s="16">
        <v>0.57990222688408266</v>
      </c>
      <c r="Z403" s="16">
        <v>0.40100000000000002</v>
      </c>
      <c r="AA403" s="35">
        <v>0.8731017483386585</v>
      </c>
      <c r="AB403" s="23">
        <v>0.45100680912061397</v>
      </c>
      <c r="AC403" s="16">
        <v>3.5540821344350282</v>
      </c>
      <c r="AD403" s="16">
        <v>1</v>
      </c>
    </row>
    <row r="404" spans="20:30" x14ac:dyDescent="0.4">
      <c r="T404" s="16">
        <v>0.40200000000000002</v>
      </c>
      <c r="U404" s="16">
        <v>899.84955893458186</v>
      </c>
      <c r="V404" s="16">
        <v>0.36758560413994357</v>
      </c>
      <c r="W404" s="16">
        <v>1419.7296514122345</v>
      </c>
      <c r="X404" s="16">
        <v>0.57995492296251405</v>
      </c>
      <c r="Z404" s="16">
        <v>0.40200000000000002</v>
      </c>
      <c r="AA404" s="35">
        <v>0.87247324407232696</v>
      </c>
      <c r="AB404" s="23">
        <v>0.45226456740988713</v>
      </c>
      <c r="AC404" s="16">
        <v>3.5464288581636119</v>
      </c>
      <c r="AD404" s="16">
        <v>1</v>
      </c>
    </row>
    <row r="405" spans="20:30" x14ac:dyDescent="0.4">
      <c r="T405" s="16">
        <v>0.40300000000000002</v>
      </c>
      <c r="U405" s="16">
        <v>899.85492872881696</v>
      </c>
      <c r="V405" s="16">
        <v>0.36758779768334027</v>
      </c>
      <c r="W405" s="16">
        <v>1419.8586514122344</v>
      </c>
      <c r="X405" s="16">
        <v>0.58000761904094544</v>
      </c>
      <c r="Z405" s="16">
        <v>0.40300000000000002</v>
      </c>
      <c r="AA405" s="35">
        <v>0.87184473980599553</v>
      </c>
      <c r="AB405" s="23">
        <v>0.45352232569916023</v>
      </c>
      <c r="AC405" s="16">
        <v>3.5388506489129465</v>
      </c>
      <c r="AD405" s="16">
        <v>1</v>
      </c>
    </row>
    <row r="406" spans="20:30" x14ac:dyDescent="0.4">
      <c r="T406" s="16">
        <v>0.40400000000000003</v>
      </c>
      <c r="U406" s="16">
        <v>899.86029852305182</v>
      </c>
      <c r="V406" s="16">
        <v>0.36758999122673686</v>
      </c>
      <c r="W406" s="16">
        <v>1419.9876514122343</v>
      </c>
      <c r="X406" s="16">
        <v>0.58006031511937672</v>
      </c>
      <c r="Z406" s="16">
        <v>0.40400000000000003</v>
      </c>
      <c r="AA406" s="35">
        <v>0.87121623553969596</v>
      </c>
      <c r="AB406" s="23">
        <v>0.45478008398843073</v>
      </c>
      <c r="AC406" s="16">
        <v>3.5313464076336341</v>
      </c>
      <c r="AD406" s="16">
        <v>1</v>
      </c>
    </row>
    <row r="407" spans="20:30" x14ac:dyDescent="0.4">
      <c r="T407" s="16">
        <v>0.40500000000000003</v>
      </c>
      <c r="U407" s="16">
        <v>899.86566831728692</v>
      </c>
      <c r="V407" s="16">
        <v>0.36759218477013356</v>
      </c>
      <c r="W407" s="16">
        <v>1420.1166514122344</v>
      </c>
      <c r="X407" s="16">
        <v>0.58011301119780823</v>
      </c>
      <c r="Z407" s="16">
        <v>0.40500000000000003</v>
      </c>
      <c r="AA407" s="35">
        <v>0.87058773127336442</v>
      </c>
      <c r="AB407" s="23">
        <v>0.4560378422777065</v>
      </c>
      <c r="AC407" s="16">
        <v>3.5239150566243413</v>
      </c>
      <c r="AD407" s="16">
        <v>1</v>
      </c>
    </row>
    <row r="408" spans="20:30" x14ac:dyDescent="0.4">
      <c r="T408" s="16">
        <v>0.40600000000000003</v>
      </c>
      <c r="U408" s="16">
        <v>899.87103811152201</v>
      </c>
      <c r="V408" s="16">
        <v>0.36759437831353026</v>
      </c>
      <c r="W408" s="16">
        <v>1420.2456514122343</v>
      </c>
      <c r="X408" s="16">
        <v>0.58016570727623951</v>
      </c>
      <c r="Z408" s="16">
        <v>0.40600000000000003</v>
      </c>
      <c r="AA408" s="35">
        <v>0.86995922700703299</v>
      </c>
      <c r="AB408" s="23">
        <v>0.45729560056697699</v>
      </c>
      <c r="AC408" s="16">
        <v>3.5165555390208953</v>
      </c>
      <c r="AD408" s="16">
        <v>1</v>
      </c>
    </row>
    <row r="409" spans="20:30" x14ac:dyDescent="0.4">
      <c r="T409" s="16">
        <v>0.40700000000000003</v>
      </c>
      <c r="U409" s="16">
        <v>899.87640790575711</v>
      </c>
      <c r="V409" s="16">
        <v>0.3675965718569269</v>
      </c>
      <c r="W409" s="16">
        <v>1420.3746514122345</v>
      </c>
      <c r="X409" s="16">
        <v>0.5802184033546709</v>
      </c>
      <c r="Z409" s="16">
        <v>0.40700000000000003</v>
      </c>
      <c r="AA409" s="35">
        <v>0.86933072274071743</v>
      </c>
      <c r="AB409" s="23">
        <v>0.45855335885625015</v>
      </c>
      <c r="AC409" s="16">
        <v>3.5092668182924012</v>
      </c>
      <c r="AD409" s="16">
        <v>1</v>
      </c>
    </row>
    <row r="410" spans="20:30" x14ac:dyDescent="0.4">
      <c r="T410" s="16">
        <v>0.40800000000000003</v>
      </c>
      <c r="U410" s="16">
        <v>899.8817776999922</v>
      </c>
      <c r="V410" s="16">
        <v>0.3675987654003236</v>
      </c>
      <c r="W410" s="16">
        <v>1420.5036514122344</v>
      </c>
      <c r="X410" s="16">
        <v>0.58027109943310229</v>
      </c>
      <c r="Z410" s="16">
        <v>0.40800000000000003</v>
      </c>
      <c r="AA410" s="35">
        <v>0.868702218474386</v>
      </c>
      <c r="AB410" s="23">
        <v>0.45981111714552325</v>
      </c>
      <c r="AC410" s="16">
        <v>3.5020478777535309</v>
      </c>
      <c r="AD410" s="16">
        <v>1</v>
      </c>
    </row>
    <row r="411" spans="20:30" x14ac:dyDescent="0.4">
      <c r="T411" s="16">
        <v>0.40900000000000003</v>
      </c>
      <c r="U411" s="16">
        <v>899.88714749422707</v>
      </c>
      <c r="V411" s="16">
        <v>0.36760095894372019</v>
      </c>
      <c r="W411" s="16">
        <v>1420.6326514122343</v>
      </c>
      <c r="X411" s="16">
        <v>0.58032379551153357</v>
      </c>
      <c r="Z411" s="16">
        <v>0.40900000000000003</v>
      </c>
      <c r="AA411" s="35">
        <v>0.86807371420808632</v>
      </c>
      <c r="AB411" s="23">
        <v>0.46106887543479375</v>
      </c>
      <c r="AC411" s="16">
        <v>3.4948977200952518</v>
      </c>
      <c r="AD411" s="16">
        <v>1</v>
      </c>
    </row>
    <row r="412" spans="20:30" x14ac:dyDescent="0.4">
      <c r="T412" s="16">
        <v>0.41000000000000003</v>
      </c>
      <c r="U412" s="16">
        <v>899.89251728846216</v>
      </c>
      <c r="V412" s="16">
        <v>0.36760315248711689</v>
      </c>
      <c r="W412" s="16">
        <v>1420.7616514122344</v>
      </c>
      <c r="X412" s="16">
        <v>0.58037649158996507</v>
      </c>
      <c r="Z412" s="16">
        <v>0.41000000000000003</v>
      </c>
      <c r="AA412" s="35">
        <v>0.86744520994175489</v>
      </c>
      <c r="AB412" s="23">
        <v>0.46232663372406951</v>
      </c>
      <c r="AC412" s="16">
        <v>3.4878153669205112</v>
      </c>
      <c r="AD412" s="16">
        <v>1</v>
      </c>
    </row>
    <row r="413" spans="20:30" x14ac:dyDescent="0.4">
      <c r="T413" s="16">
        <v>0.41100000000000003</v>
      </c>
      <c r="U413" s="16">
        <v>899.89788708269725</v>
      </c>
      <c r="V413" s="16">
        <v>0.36760534603051359</v>
      </c>
      <c r="W413" s="16">
        <v>1420.8906514122343</v>
      </c>
      <c r="X413" s="16">
        <v>0.58042918766839635</v>
      </c>
      <c r="Z413" s="16">
        <v>0.41100000000000003</v>
      </c>
      <c r="AA413" s="35">
        <v>0.86681670567542346</v>
      </c>
      <c r="AB413" s="23">
        <v>0.46358439201334001</v>
      </c>
      <c r="AC413" s="16">
        <v>3.4807998583032047</v>
      </c>
      <c r="AD413" s="16">
        <v>1</v>
      </c>
    </row>
    <row r="414" spans="20:30" x14ac:dyDescent="0.4">
      <c r="T414" s="16">
        <v>0.41200000000000003</v>
      </c>
      <c r="U414" s="16">
        <v>899.90325687693235</v>
      </c>
      <c r="V414" s="16">
        <v>0.36760753957391029</v>
      </c>
      <c r="W414" s="16">
        <v>1421.0196514122345</v>
      </c>
      <c r="X414" s="16">
        <v>0.58048188374682785</v>
      </c>
      <c r="Z414" s="16">
        <v>0.41200000000000003</v>
      </c>
      <c r="AA414" s="35">
        <v>0.86618820140909203</v>
      </c>
      <c r="AB414" s="23">
        <v>0.46484215030261583</v>
      </c>
      <c r="AC414" s="16">
        <v>3.4738502523513661</v>
      </c>
      <c r="AD414" s="16">
        <v>1</v>
      </c>
    </row>
    <row r="415" spans="20:30" x14ac:dyDescent="0.4">
      <c r="T415" s="16">
        <v>0.41300000000000003</v>
      </c>
      <c r="U415" s="16">
        <v>899.90862667116744</v>
      </c>
      <c r="V415" s="16">
        <v>0.36760973311730694</v>
      </c>
      <c r="W415" s="16">
        <v>1421.1486514122344</v>
      </c>
      <c r="X415" s="16">
        <v>0.58053457982525913</v>
      </c>
      <c r="Z415" s="16">
        <v>0.41300000000000003</v>
      </c>
      <c r="AA415" s="35">
        <v>0.86555969714277647</v>
      </c>
      <c r="AB415" s="23">
        <v>0.46609990859188627</v>
      </c>
      <c r="AC415" s="16">
        <v>3.4669656247865448</v>
      </c>
      <c r="AD415" s="16">
        <v>1</v>
      </c>
    </row>
    <row r="416" spans="20:30" x14ac:dyDescent="0.4">
      <c r="T416" s="16">
        <v>0.41400000000000003</v>
      </c>
      <c r="U416" s="16">
        <v>899.91399646540231</v>
      </c>
      <c r="V416" s="16">
        <v>0.36761192666070358</v>
      </c>
      <c r="W416" s="16">
        <v>1421.2776514122345</v>
      </c>
      <c r="X416" s="16">
        <v>0.58058727590369053</v>
      </c>
      <c r="Z416" s="16">
        <v>0.41400000000000003</v>
      </c>
      <c r="AA416" s="35">
        <v>0.86493119287646092</v>
      </c>
      <c r="AB416" s="23">
        <v>0.46735766688115943</v>
      </c>
      <c r="AC416" s="16">
        <v>3.4601450685330795</v>
      </c>
      <c r="AD416" s="16">
        <v>1</v>
      </c>
    </row>
    <row r="417" spans="20:30" x14ac:dyDescent="0.4">
      <c r="T417" s="16">
        <v>0.41500000000000004</v>
      </c>
      <c r="U417" s="16">
        <v>899.9193662596374</v>
      </c>
      <c r="V417" s="16">
        <v>0.36761412020410023</v>
      </c>
      <c r="W417" s="16">
        <v>1421.4066514122344</v>
      </c>
      <c r="X417" s="16">
        <v>0.58063997198212192</v>
      </c>
      <c r="Z417" s="16">
        <v>0.41500000000000004</v>
      </c>
      <c r="AA417" s="35">
        <v>0.86430268861014536</v>
      </c>
      <c r="AB417" s="23">
        <v>0.46861542517043253</v>
      </c>
      <c r="AC417" s="16">
        <v>3.4533876933207122</v>
      </c>
      <c r="AD417" s="16">
        <v>1</v>
      </c>
    </row>
    <row r="418" spans="20:30" x14ac:dyDescent="0.4">
      <c r="T418" s="16">
        <v>0.41600000000000004</v>
      </c>
      <c r="U418" s="16">
        <v>899.92473605387249</v>
      </c>
      <c r="V418" s="16">
        <v>0.36761631374749693</v>
      </c>
      <c r="W418" s="16">
        <v>1421.5356514122343</v>
      </c>
      <c r="X418" s="16">
        <v>0.5806926680605532</v>
      </c>
      <c r="Z418" s="16">
        <v>0.41600000000000004</v>
      </c>
      <c r="AA418" s="35">
        <v>0.86367418434381393</v>
      </c>
      <c r="AB418" s="23">
        <v>0.46987318345970303</v>
      </c>
      <c r="AC418" s="16">
        <v>3.4466926252964734</v>
      </c>
      <c r="AD418" s="16">
        <v>1</v>
      </c>
    </row>
    <row r="419" spans="20:30" x14ac:dyDescent="0.4">
      <c r="T419" s="16">
        <v>0.41699999999999998</v>
      </c>
      <c r="U419" s="16">
        <v>899.93010584810759</v>
      </c>
      <c r="V419" s="16">
        <v>0.36761850729089363</v>
      </c>
      <c r="W419" s="16">
        <v>1421.6646514122344</v>
      </c>
      <c r="X419" s="16">
        <v>0.5807453641389847</v>
      </c>
      <c r="Z419" s="16">
        <v>0.41699999999999998</v>
      </c>
      <c r="AA419" s="35">
        <v>0.8630456800774825</v>
      </c>
      <c r="AB419" s="23">
        <v>0.47113094174897885</v>
      </c>
      <c r="AC419" s="16">
        <v>3.440059006649248</v>
      </c>
      <c r="AD419" s="16">
        <v>1</v>
      </c>
    </row>
    <row r="420" spans="20:30" x14ac:dyDescent="0.4">
      <c r="T420" s="16">
        <v>0.41799999999999998</v>
      </c>
      <c r="U420" s="16">
        <v>899.93547564234268</v>
      </c>
      <c r="V420" s="16">
        <v>0.36762070083429033</v>
      </c>
      <c r="W420" s="16">
        <v>1421.7936514122343</v>
      </c>
      <c r="X420" s="16">
        <v>0.58079806021741598</v>
      </c>
      <c r="Z420" s="16">
        <v>0.41799999999999998</v>
      </c>
      <c r="AA420" s="35">
        <v>0.86241717581115096</v>
      </c>
      <c r="AB420" s="23">
        <v>0.47238870003824929</v>
      </c>
      <c r="AC420" s="16">
        <v>3.4334859952419552</v>
      </c>
      <c r="AD420" s="16">
        <v>1</v>
      </c>
    </row>
    <row r="421" spans="20:30" x14ac:dyDescent="0.4">
      <c r="T421" s="16">
        <v>0.41899999999999998</v>
      </c>
      <c r="U421" s="16">
        <v>899.94084543657777</v>
      </c>
      <c r="V421" s="16">
        <v>0.36762289437768703</v>
      </c>
      <c r="W421" s="16">
        <v>1421.9226514122345</v>
      </c>
      <c r="X421" s="16">
        <v>0.58085075629584737</v>
      </c>
      <c r="Z421" s="16">
        <v>0.41899999999999998</v>
      </c>
      <c r="AA421" s="35">
        <v>0.86178867154481953</v>
      </c>
      <c r="AB421" s="23">
        <v>0.47364645832752245</v>
      </c>
      <c r="AC421" s="16">
        <v>3.4269727642558458</v>
      </c>
      <c r="AD421" s="16">
        <v>1</v>
      </c>
    </row>
    <row r="422" spans="20:30" x14ac:dyDescent="0.4">
      <c r="T422" s="16">
        <v>0.42</v>
      </c>
      <c r="U422" s="16">
        <v>899.94621523081264</v>
      </c>
      <c r="V422" s="16">
        <v>0.36762508792108362</v>
      </c>
      <c r="W422" s="16">
        <v>1422.0516514122344</v>
      </c>
      <c r="X422" s="16">
        <v>0.58090345237427876</v>
      </c>
      <c r="Z422" s="16">
        <v>0.42</v>
      </c>
      <c r="AA422" s="35">
        <v>0.86116016727851985</v>
      </c>
      <c r="AB422" s="23">
        <v>0.4749042166167956</v>
      </c>
      <c r="AC422" s="16">
        <v>3.4205185018443367</v>
      </c>
      <c r="AD422" s="16">
        <v>1</v>
      </c>
    </row>
    <row r="423" spans="20:30" x14ac:dyDescent="0.4">
      <c r="T423" s="16">
        <v>0.42099999999999999</v>
      </c>
      <c r="U423" s="16">
        <v>899.95158502504773</v>
      </c>
      <c r="V423" s="16">
        <v>0.36762728146448026</v>
      </c>
      <c r="W423" s="16">
        <v>1422.1806514122343</v>
      </c>
      <c r="X423" s="16">
        <v>0.58095614845271004</v>
      </c>
      <c r="Z423" s="16">
        <v>0.42099999999999999</v>
      </c>
      <c r="AA423" s="35">
        <v>0.8605316630122043</v>
      </c>
      <c r="AB423" s="23">
        <v>0.47616197490606604</v>
      </c>
      <c r="AC423" s="16">
        <v>3.4141224107930177</v>
      </c>
      <c r="AD423" s="16">
        <v>1</v>
      </c>
    </row>
    <row r="424" spans="20:30" x14ac:dyDescent="0.4">
      <c r="T424" s="16">
        <v>0.42199999999999999</v>
      </c>
      <c r="U424" s="16">
        <v>899.95695481928283</v>
      </c>
      <c r="V424" s="16">
        <v>0.36762947500787696</v>
      </c>
      <c r="W424" s="16">
        <v>1422.3096514122344</v>
      </c>
      <c r="X424" s="16">
        <v>0.58100884453114154</v>
      </c>
      <c r="Z424" s="16">
        <v>0.42199999999999999</v>
      </c>
      <c r="AA424" s="35">
        <v>0.85990315874587286</v>
      </c>
      <c r="AB424" s="23">
        <v>0.47741973319534187</v>
      </c>
      <c r="AC424" s="16">
        <v>3.4077837081946161</v>
      </c>
      <c r="AD424" s="16">
        <v>1</v>
      </c>
    </row>
    <row r="425" spans="20:30" x14ac:dyDescent="0.4">
      <c r="T425" s="16">
        <v>0.42299999999999999</v>
      </c>
      <c r="U425" s="16">
        <v>899.96232461351792</v>
      </c>
      <c r="V425" s="16">
        <v>0.36763166855127366</v>
      </c>
      <c r="W425" s="16">
        <v>1422.4386514122343</v>
      </c>
      <c r="X425" s="16">
        <v>0.58106154060957282</v>
      </c>
      <c r="Z425" s="16">
        <v>0.42299999999999999</v>
      </c>
      <c r="AA425" s="35">
        <v>0.85927465447954143</v>
      </c>
      <c r="AB425" s="23">
        <v>0.47867749148461236</v>
      </c>
      <c r="AC425" s="16">
        <v>3.4015016251285202</v>
      </c>
      <c r="AD425" s="16">
        <v>1</v>
      </c>
    </row>
    <row r="426" spans="20:30" x14ac:dyDescent="0.4">
      <c r="T426" s="16">
        <v>0.42399999999999999</v>
      </c>
      <c r="U426" s="16">
        <v>899.96769440775302</v>
      </c>
      <c r="V426" s="16">
        <v>0.36763386209467036</v>
      </c>
      <c r="W426" s="16">
        <v>1422.5676514122345</v>
      </c>
      <c r="X426" s="16">
        <v>0.58111423668800422</v>
      </c>
      <c r="Z426" s="16">
        <v>0.42399999999999999</v>
      </c>
      <c r="AA426" s="35">
        <v>0.85864615021321</v>
      </c>
      <c r="AB426" s="23">
        <v>0.47993524977388546</v>
      </c>
      <c r="AC426" s="16">
        <v>3.3952754063493291</v>
      </c>
      <c r="AD426" s="16">
        <v>1</v>
      </c>
    </row>
    <row r="427" spans="20:30" x14ac:dyDescent="0.4">
      <c r="T427" s="16">
        <v>0.42499999999999999</v>
      </c>
      <c r="U427" s="16">
        <v>899.97306420198811</v>
      </c>
      <c r="V427" s="16">
        <v>0.36763605563806706</v>
      </c>
      <c r="W427" s="16">
        <v>1422.6966514122344</v>
      </c>
      <c r="X427" s="16">
        <v>0.58116693276643561</v>
      </c>
      <c r="Z427" s="16">
        <v>0.42499999999999999</v>
      </c>
      <c r="AA427" s="35">
        <v>0.85801764594687857</v>
      </c>
      <c r="AB427" s="23">
        <v>0.48119300806315862</v>
      </c>
      <c r="AC427" s="16">
        <v>3.3891043099843561</v>
      </c>
      <c r="AD427" s="16">
        <v>1</v>
      </c>
    </row>
    <row r="428" spans="20:30" x14ac:dyDescent="0.4">
      <c r="T428" s="16">
        <v>0.42599999999999999</v>
      </c>
      <c r="U428" s="16">
        <v>899.97843399622298</v>
      </c>
      <c r="V428" s="16">
        <v>0.36763824918146365</v>
      </c>
      <c r="W428" s="16">
        <v>1422.8256514122345</v>
      </c>
      <c r="X428" s="16">
        <v>0.581219628844867</v>
      </c>
      <c r="Z428" s="16">
        <v>0.42599999999999999</v>
      </c>
      <c r="AA428" s="35">
        <v>0.85738914168057889</v>
      </c>
      <c r="AB428" s="23">
        <v>0.48245076635243173</v>
      </c>
      <c r="AC428" s="16">
        <v>3.3829876072397944</v>
      </c>
      <c r="AD428" s="16">
        <v>1</v>
      </c>
    </row>
    <row r="429" spans="20:30" x14ac:dyDescent="0.4">
      <c r="T429" s="16">
        <v>0.42699999999999999</v>
      </c>
      <c r="U429" s="16">
        <v>899.98380379045807</v>
      </c>
      <c r="V429" s="16">
        <v>0.36764044272486029</v>
      </c>
      <c r="W429" s="16">
        <v>1422.9546514122344</v>
      </c>
      <c r="X429" s="16">
        <v>0.58127232492329839</v>
      </c>
      <c r="Z429" s="16">
        <v>0.42699999999999999</v>
      </c>
      <c r="AA429" s="35">
        <v>0.85676063741426334</v>
      </c>
      <c r="AB429" s="23">
        <v>0.48370852464170488</v>
      </c>
      <c r="AC429" s="16">
        <v>3.3769245821111404</v>
      </c>
      <c r="AD429" s="16">
        <v>1</v>
      </c>
    </row>
    <row r="430" spans="20:30" x14ac:dyDescent="0.4">
      <c r="T430" s="16">
        <v>0.42799999999999999</v>
      </c>
      <c r="U430" s="16">
        <v>899.9966027309099</v>
      </c>
      <c r="V430" s="16">
        <v>0.36764567105020829</v>
      </c>
      <c r="W430" s="16">
        <v>1423.1652155001925</v>
      </c>
      <c r="X430" s="16">
        <v>0.5813583396651113</v>
      </c>
      <c r="Z430" s="16">
        <v>0.42799999999999999</v>
      </c>
      <c r="AA430" s="35">
        <v>0.85526259329444942</v>
      </c>
      <c r="AB430" s="23">
        <v>0.48576153802970745</v>
      </c>
      <c r="AC430" s="16">
        <v>3.3561575344370107</v>
      </c>
      <c r="AD430" s="16">
        <v>1</v>
      </c>
    </row>
    <row r="431" spans="20:30" x14ac:dyDescent="0.4">
      <c r="T431" s="16">
        <v>0.42899999999999999</v>
      </c>
      <c r="U431" s="16">
        <v>900.00971462640859</v>
      </c>
      <c r="V431" s="16">
        <v>0.3676510272166702</v>
      </c>
      <c r="W431" s="16">
        <v>1423.3792155001925</v>
      </c>
      <c r="X431" s="16">
        <v>0.58144575796576492</v>
      </c>
      <c r="Z431" s="16">
        <v>0.42899999999999999</v>
      </c>
      <c r="AA431" s="35">
        <v>0.85372791954349603</v>
      </c>
      <c r="AB431" s="23">
        <v>0.48784805178090457</v>
      </c>
      <c r="AC431" s="16">
        <v>3.3352096330233914</v>
      </c>
      <c r="AD431" s="16">
        <v>1</v>
      </c>
    </row>
    <row r="432" spans="20:30" x14ac:dyDescent="0.4">
      <c r="T432" s="16">
        <v>0.43</v>
      </c>
      <c r="U432" s="16">
        <v>900.02282652190729</v>
      </c>
      <c r="V432" s="16">
        <v>0.36765638338313206</v>
      </c>
      <c r="W432" s="16">
        <v>1423.5932155001924</v>
      </c>
      <c r="X432" s="16">
        <v>0.58153317626641843</v>
      </c>
      <c r="Z432" s="16">
        <v>0.43</v>
      </c>
      <c r="AA432" s="35">
        <v>0.85219324579255851</v>
      </c>
      <c r="AB432" s="23">
        <v>0.48993456553209902</v>
      </c>
      <c r="AC432" s="16">
        <v>3.3146967346599965</v>
      </c>
      <c r="AD432" s="16">
        <v>1</v>
      </c>
    </row>
    <row r="433" spans="20:30" x14ac:dyDescent="0.4">
      <c r="T433" s="16">
        <v>0.43099999999999999</v>
      </c>
      <c r="U433" s="16">
        <v>900.03593841740576</v>
      </c>
      <c r="V433" s="16">
        <v>0.36766173954959386</v>
      </c>
      <c r="W433" s="16">
        <v>1423.8072155001926</v>
      </c>
      <c r="X433" s="16">
        <v>0.58162059456707216</v>
      </c>
      <c r="Z433" s="16">
        <v>0.43099999999999999</v>
      </c>
      <c r="AA433" s="35">
        <v>0.85065857204163686</v>
      </c>
      <c r="AB433" s="23">
        <v>0.4920210792832988</v>
      </c>
      <c r="AC433" s="16">
        <v>3.2946054287124924</v>
      </c>
      <c r="AD433" s="16">
        <v>1</v>
      </c>
    </row>
    <row r="434" spans="20:30" x14ac:dyDescent="0.4">
      <c r="T434" s="16">
        <v>0.432</v>
      </c>
      <c r="U434" s="16">
        <v>900.04905031290446</v>
      </c>
      <c r="V434" s="16">
        <v>0.36766709571605571</v>
      </c>
      <c r="W434" s="16">
        <v>1424.0212155001925</v>
      </c>
      <c r="X434" s="16">
        <v>0.58170801286772567</v>
      </c>
      <c r="Z434" s="16">
        <v>0.432</v>
      </c>
      <c r="AA434" s="35">
        <v>0.84912389829069934</v>
      </c>
      <c r="AB434" s="23">
        <v>0.49410759303449331</v>
      </c>
      <c r="AC434" s="16">
        <v>3.2749228501841281</v>
      </c>
      <c r="AD434" s="16">
        <v>1</v>
      </c>
    </row>
    <row r="435" spans="20:30" x14ac:dyDescent="0.4">
      <c r="T435" s="16">
        <v>0.433</v>
      </c>
      <c r="U435" s="16">
        <v>900.06216220840292</v>
      </c>
      <c r="V435" s="16">
        <v>0.36767245188251751</v>
      </c>
      <c r="W435" s="16">
        <v>1424.2352155001925</v>
      </c>
      <c r="X435" s="16">
        <v>0.58179543116837928</v>
      </c>
      <c r="Z435" s="16">
        <v>0.433</v>
      </c>
      <c r="AA435" s="35">
        <v>0.84758922453977781</v>
      </c>
      <c r="AB435" s="23">
        <v>0.49619410678569043</v>
      </c>
      <c r="AC435" s="16">
        <v>3.2556366522470226</v>
      </c>
      <c r="AD435" s="16">
        <v>1</v>
      </c>
    </row>
    <row r="436" spans="20:30" x14ac:dyDescent="0.4">
      <c r="T436" s="16">
        <v>0.434</v>
      </c>
      <c r="U436" s="16">
        <v>900.07527410390139</v>
      </c>
      <c r="V436" s="16">
        <v>0.36767780804897932</v>
      </c>
      <c r="W436" s="16">
        <v>1424.4492155001924</v>
      </c>
      <c r="X436" s="16">
        <v>0.58188284946903279</v>
      </c>
      <c r="Z436" s="16">
        <v>0.434</v>
      </c>
      <c r="AA436" s="35">
        <v>0.84605455078885616</v>
      </c>
      <c r="AB436" s="23">
        <v>0.49828062053688488</v>
      </c>
      <c r="AC436" s="16">
        <v>3.2367349804115886</v>
      </c>
      <c r="AD436" s="16">
        <v>1</v>
      </c>
    </row>
    <row r="437" spans="20:30" x14ac:dyDescent="0.4">
      <c r="T437" s="16">
        <v>0.435</v>
      </c>
      <c r="U437" s="16">
        <v>900.08838599940009</v>
      </c>
      <c r="V437" s="16">
        <v>0.36768316421544123</v>
      </c>
      <c r="W437" s="16">
        <v>1424.6632155001926</v>
      </c>
      <c r="X437" s="16">
        <v>0.58197026776968652</v>
      </c>
      <c r="Z437" s="16">
        <v>0.435</v>
      </c>
      <c r="AA437" s="35">
        <v>0.84451987703790277</v>
      </c>
      <c r="AB437" s="23">
        <v>0.50036713428808466</v>
      </c>
      <c r="AC437" s="16">
        <v>3.2182064482291644</v>
      </c>
      <c r="AD437" s="16">
        <v>1</v>
      </c>
    </row>
    <row r="438" spans="20:30" x14ac:dyDescent="0.4">
      <c r="T438" s="16">
        <v>0.436</v>
      </c>
      <c r="U438" s="16">
        <v>900.10149789489878</v>
      </c>
      <c r="V438" s="16">
        <v>0.36768852038190308</v>
      </c>
      <c r="W438" s="16">
        <v>1424.8772155001925</v>
      </c>
      <c r="X438" s="16">
        <v>0.58205768607034003</v>
      </c>
      <c r="Z438" s="16">
        <v>0.436</v>
      </c>
      <c r="AA438" s="35">
        <v>0.84298520328696525</v>
      </c>
      <c r="AB438" s="23">
        <v>0.50245364803927917</v>
      </c>
      <c r="AC438" s="16">
        <v>3.2000401144204229</v>
      </c>
      <c r="AD438" s="16">
        <v>1</v>
      </c>
    </row>
    <row r="439" spans="20:30" x14ac:dyDescent="0.4">
      <c r="T439" s="16">
        <v>0.437</v>
      </c>
      <c r="U439" s="16">
        <v>900.11460979039725</v>
      </c>
      <c r="V439" s="16">
        <v>0.36769387654836488</v>
      </c>
      <c r="W439" s="16">
        <v>1425.0912155001924</v>
      </c>
      <c r="X439" s="16">
        <v>0.58214510437099365</v>
      </c>
      <c r="Z439" s="16">
        <v>0.437</v>
      </c>
      <c r="AA439" s="35">
        <v>0.84145052953604371</v>
      </c>
      <c r="AB439" s="23">
        <v>0.50454016179047634</v>
      </c>
      <c r="AC439" s="16">
        <v>3.1822254613280183</v>
      </c>
      <c r="AD439" s="16">
        <v>1</v>
      </c>
    </row>
    <row r="440" spans="20:30" x14ac:dyDescent="0.4">
      <c r="T440" s="16">
        <v>0.438</v>
      </c>
      <c r="U440" s="16">
        <v>900.12772168589572</v>
      </c>
      <c r="V440" s="16">
        <v>0.36769923271482668</v>
      </c>
      <c r="W440" s="16">
        <v>1425.3052155001926</v>
      </c>
      <c r="X440" s="16">
        <v>0.58223252267164727</v>
      </c>
      <c r="Z440" s="16">
        <v>0.438</v>
      </c>
      <c r="AA440" s="35">
        <v>0.83991585578512207</v>
      </c>
      <c r="AB440" s="23">
        <v>0.5066266755416734</v>
      </c>
      <c r="AC440" s="16">
        <v>3.164752374611429</v>
      </c>
      <c r="AD440" s="16">
        <v>1</v>
      </c>
    </row>
    <row r="441" spans="20:30" x14ac:dyDescent="0.4">
      <c r="T441" s="16">
        <v>0.439</v>
      </c>
      <c r="U441" s="16">
        <v>900.14083358139442</v>
      </c>
      <c r="V441" s="16">
        <v>0.3677045888812886</v>
      </c>
      <c r="W441" s="16">
        <v>1425.5192155001926</v>
      </c>
      <c r="X441" s="16">
        <v>0.58231994097230089</v>
      </c>
      <c r="Z441" s="16">
        <v>0.439</v>
      </c>
      <c r="AA441" s="35">
        <v>0.83838118203416867</v>
      </c>
      <c r="AB441" s="23">
        <v>0.50871318929287057</v>
      </c>
      <c r="AC441" s="16">
        <v>3.1476111240983107</v>
      </c>
      <c r="AD441" s="16">
        <v>1</v>
      </c>
    </row>
    <row r="442" spans="20:30" x14ac:dyDescent="0.4">
      <c r="T442" s="16">
        <v>0.44</v>
      </c>
      <c r="U442" s="16">
        <v>900.15394547689289</v>
      </c>
      <c r="V442" s="16">
        <v>0.36770994504775034</v>
      </c>
      <c r="W442" s="16">
        <v>1425.7332155001925</v>
      </c>
      <c r="X442" s="16">
        <v>0.58240735927295451</v>
      </c>
      <c r="Z442" s="16">
        <v>0.44</v>
      </c>
      <c r="AA442" s="35">
        <v>0.83684650828326301</v>
      </c>
      <c r="AB442" s="23">
        <v>0.51079970304406763</v>
      </c>
      <c r="AC442" s="16">
        <v>3.1307923457188727</v>
      </c>
      <c r="AD442" s="16">
        <v>1</v>
      </c>
    </row>
    <row r="443" spans="20:30" x14ac:dyDescent="0.4">
      <c r="T443" s="16">
        <v>0.441</v>
      </c>
      <c r="U443" s="16">
        <v>900.17504716469261</v>
      </c>
      <c r="V443" s="16">
        <v>0.36771856501825678</v>
      </c>
      <c r="W443" s="16">
        <v>1426.0017049657156</v>
      </c>
      <c r="X443" s="16">
        <v>0.58251703634220409</v>
      </c>
      <c r="Z443" s="16">
        <v>0.441</v>
      </c>
      <c r="AA443" s="35">
        <v>0.83437667420243322</v>
      </c>
      <c r="AB443" s="23">
        <v>0.51341749258549341</v>
      </c>
      <c r="AC443" s="16">
        <v>3.0999105356271994</v>
      </c>
      <c r="AD443" s="16">
        <v>1</v>
      </c>
    </row>
    <row r="444" spans="20:30" x14ac:dyDescent="0.4">
      <c r="T444" s="16">
        <v>0.442</v>
      </c>
      <c r="U444" s="16">
        <v>900.20047598323026</v>
      </c>
      <c r="V444" s="16">
        <v>0.36772895260752869</v>
      </c>
      <c r="W444" s="16">
        <v>1426.2997049657156</v>
      </c>
      <c r="X444" s="16">
        <v>0.58263876836834783</v>
      </c>
      <c r="Z444" s="16">
        <v>0.442</v>
      </c>
      <c r="AA444" s="35">
        <v>0.83140037376355647</v>
      </c>
      <c r="AB444" s="23">
        <v>0.51632301173435458</v>
      </c>
      <c r="AC444" s="16">
        <v>3.0624208562020474</v>
      </c>
      <c r="AD444" s="16">
        <v>1</v>
      </c>
    </row>
    <row r="445" spans="20:30" x14ac:dyDescent="0.4">
      <c r="T445" s="16">
        <v>0.443</v>
      </c>
      <c r="U445" s="16">
        <v>900.22590480176791</v>
      </c>
      <c r="V445" s="16">
        <v>0.3677393401968006</v>
      </c>
      <c r="W445" s="16">
        <v>1426.5977049657156</v>
      </c>
      <c r="X445" s="16">
        <v>0.58276050039449168</v>
      </c>
      <c r="Z445" s="16">
        <v>0.443</v>
      </c>
      <c r="AA445" s="35">
        <v>0.82842407332467971</v>
      </c>
      <c r="AB445" s="23">
        <v>0.51922853088321852</v>
      </c>
      <c r="AC445" s="16">
        <v>3.0262318318453532</v>
      </c>
      <c r="AD445" s="16">
        <v>1</v>
      </c>
    </row>
    <row r="446" spans="20:30" x14ac:dyDescent="0.4">
      <c r="T446" s="16">
        <v>0.44400000000000001</v>
      </c>
      <c r="U446" s="16">
        <v>900.25133362030579</v>
      </c>
      <c r="V446" s="16">
        <v>0.36774972778607262</v>
      </c>
      <c r="W446" s="16">
        <v>1426.8957049657156</v>
      </c>
      <c r="X446" s="16">
        <v>0.58288223242063542</v>
      </c>
      <c r="Z446" s="16">
        <v>0.44400000000000001</v>
      </c>
      <c r="AA446" s="35">
        <v>0.82544777288577109</v>
      </c>
      <c r="AB446" s="23">
        <v>0.5221340500320798</v>
      </c>
      <c r="AC446" s="16">
        <v>2.9912769299150193</v>
      </c>
      <c r="AD446" s="16">
        <v>1</v>
      </c>
    </row>
    <row r="447" spans="20:30" x14ac:dyDescent="0.4">
      <c r="T447" s="16">
        <v>0.44500000000000001</v>
      </c>
      <c r="U447" s="16">
        <v>900.27676243884343</v>
      </c>
      <c r="V447" s="16">
        <v>0.36776011537534453</v>
      </c>
      <c r="W447" s="16">
        <v>1427.1937049657156</v>
      </c>
      <c r="X447" s="16">
        <v>0.58300396444677927</v>
      </c>
      <c r="Z447" s="16">
        <v>0.44500000000000001</v>
      </c>
      <c r="AA447" s="35">
        <v>0.82247147244689434</v>
      </c>
      <c r="AB447" s="23">
        <v>0.52503956918094374</v>
      </c>
      <c r="AC447" s="16">
        <v>2.9574940795015836</v>
      </c>
      <c r="AD447" s="16">
        <v>1</v>
      </c>
    </row>
    <row r="448" spans="20:30" x14ac:dyDescent="0.4">
      <c r="T448" s="16">
        <v>0.44600000000000001</v>
      </c>
      <c r="U448" s="16">
        <v>900.30219125738108</v>
      </c>
      <c r="V448" s="16">
        <v>0.36777050296461644</v>
      </c>
      <c r="W448" s="16">
        <v>1427.4917049657156</v>
      </c>
      <c r="X448" s="16">
        <v>0.58312569647292301</v>
      </c>
      <c r="Z448" s="16">
        <v>0.44600000000000001</v>
      </c>
      <c r="AA448" s="35">
        <v>0.81949517200801758</v>
      </c>
      <c r="AB448" s="23">
        <v>0.52794508832980502</v>
      </c>
      <c r="AC448" s="16">
        <v>2.9248253035827663</v>
      </c>
      <c r="AD448" s="16">
        <v>1</v>
      </c>
    </row>
    <row r="449" spans="20:30" x14ac:dyDescent="0.4">
      <c r="T449" s="16">
        <v>0.44700000000000001</v>
      </c>
      <c r="U449" s="16">
        <v>900.32762007591873</v>
      </c>
      <c r="V449" s="16">
        <v>0.36778089055388835</v>
      </c>
      <c r="W449" s="16">
        <v>1427.7897049657156</v>
      </c>
      <c r="X449" s="16">
        <v>0.58324742849906686</v>
      </c>
      <c r="Z449" s="16">
        <v>0.44700000000000001</v>
      </c>
      <c r="AA449" s="35">
        <v>0.81651887156914071</v>
      </c>
      <c r="AB449" s="23">
        <v>0.53085060747866886</v>
      </c>
      <c r="AC449" s="16">
        <v>2.8932163869850402</v>
      </c>
      <c r="AD449" s="16">
        <v>1</v>
      </c>
    </row>
    <row r="450" spans="20:30" x14ac:dyDescent="0.4">
      <c r="T450" s="16">
        <v>0.44800000000000001</v>
      </c>
      <c r="U450" s="16">
        <v>900.35304889445661</v>
      </c>
      <c r="V450" s="16">
        <v>0.36779127814316037</v>
      </c>
      <c r="W450" s="16">
        <v>1428.0877049657156</v>
      </c>
      <c r="X450" s="16">
        <v>0.58336916052521059</v>
      </c>
      <c r="Z450" s="16">
        <v>0.44800000000000001</v>
      </c>
      <c r="AA450" s="35">
        <v>0.81354257113023221</v>
      </c>
      <c r="AB450" s="23">
        <v>0.53375612662753014</v>
      </c>
      <c r="AC450" s="16">
        <v>2.8626165761426163</v>
      </c>
      <c r="AD450" s="16">
        <v>1</v>
      </c>
    </row>
    <row r="451" spans="20:30" x14ac:dyDescent="0.4">
      <c r="T451" s="16">
        <v>0.44900000000000001</v>
      </c>
      <c r="U451" s="16">
        <v>900.37847771299425</v>
      </c>
      <c r="V451" s="16">
        <v>0.36780166573243228</v>
      </c>
      <c r="W451" s="16">
        <v>1428.3857049657156</v>
      </c>
      <c r="X451" s="16">
        <v>0.58349089255135445</v>
      </c>
      <c r="Z451" s="16">
        <v>0.44900000000000001</v>
      </c>
      <c r="AA451" s="35">
        <v>0.81056627069135545</v>
      </c>
      <c r="AB451" s="23">
        <v>0.53666164577639408</v>
      </c>
      <c r="AC451" s="16">
        <v>2.8329783071630859</v>
      </c>
      <c r="AD451" s="16">
        <v>1</v>
      </c>
    </row>
    <row r="452" spans="20:30" x14ac:dyDescent="0.4">
      <c r="T452" s="16">
        <v>0.45</v>
      </c>
      <c r="U452" s="16">
        <v>900.4039065315319</v>
      </c>
      <c r="V452" s="16">
        <v>0.36781205332170419</v>
      </c>
      <c r="W452" s="16">
        <v>1428.6837049657156</v>
      </c>
      <c r="X452" s="16">
        <v>0.58361262457749818</v>
      </c>
      <c r="Z452" s="16">
        <v>0.45</v>
      </c>
      <c r="AA452" s="35">
        <v>0.80758997025247858</v>
      </c>
      <c r="AB452" s="23">
        <v>0.53956716492525536</v>
      </c>
      <c r="AC452" s="16">
        <v>2.804256959126664</v>
      </c>
      <c r="AD452" s="16">
        <v>1</v>
      </c>
    </row>
    <row r="453" spans="20:30" x14ac:dyDescent="0.4">
      <c r="T453" s="16">
        <v>0.45100000000000001</v>
      </c>
      <c r="U453" s="16">
        <v>900.42933535006955</v>
      </c>
      <c r="V453" s="16">
        <v>0.3678224409109761</v>
      </c>
      <c r="W453" s="16">
        <v>1428.9817049657156</v>
      </c>
      <c r="X453" s="16">
        <v>0.58373435660364204</v>
      </c>
      <c r="Z453" s="16">
        <v>0.45100000000000001</v>
      </c>
      <c r="AA453" s="35">
        <v>0.80461366981360183</v>
      </c>
      <c r="AB453" s="23">
        <v>0.54247268407411919</v>
      </c>
      <c r="AC453" s="16">
        <v>2.7764106299381401</v>
      </c>
      <c r="AD453" s="16">
        <v>1</v>
      </c>
    </row>
    <row r="454" spans="20:30" x14ac:dyDescent="0.4">
      <c r="T454" s="16">
        <v>0.45200000000000001</v>
      </c>
      <c r="U454" s="16">
        <v>900.4547641686072</v>
      </c>
      <c r="V454" s="16">
        <v>0.36783282850024807</v>
      </c>
      <c r="W454" s="16">
        <v>1429.2797049657156</v>
      </c>
      <c r="X454" s="16">
        <v>0.58385608862978577</v>
      </c>
      <c r="Z454" s="16">
        <v>0.45200000000000001</v>
      </c>
      <c r="AA454" s="35">
        <v>0.8016373693747092</v>
      </c>
      <c r="AB454" s="23">
        <v>0.54537820322298047</v>
      </c>
      <c r="AC454" s="16">
        <v>2.7493999323552325</v>
      </c>
      <c r="AD454" s="16">
        <v>1</v>
      </c>
    </row>
    <row r="455" spans="20:30" x14ac:dyDescent="0.4">
      <c r="T455" s="16">
        <v>0.45300000000000001</v>
      </c>
      <c r="U455" s="16">
        <v>900.48019298714485</v>
      </c>
      <c r="V455" s="16">
        <v>0.36784321608951998</v>
      </c>
      <c r="W455" s="16">
        <v>1429.5777049657156</v>
      </c>
      <c r="X455" s="16">
        <v>0.58397782065592962</v>
      </c>
      <c r="Z455" s="16">
        <v>0.45300000000000001</v>
      </c>
      <c r="AA455" s="35">
        <v>0.79866106893583244</v>
      </c>
      <c r="AB455" s="23">
        <v>0.54828372237184442</v>
      </c>
      <c r="AC455" s="16">
        <v>2.7231878081100178</v>
      </c>
      <c r="AD455" s="16">
        <v>1</v>
      </c>
    </row>
    <row r="456" spans="20:30" x14ac:dyDescent="0.4">
      <c r="T456" s="16">
        <v>0.45400000000000001</v>
      </c>
      <c r="U456" s="16">
        <v>900.50562180568272</v>
      </c>
      <c r="V456" s="16">
        <v>0.36785360367879194</v>
      </c>
      <c r="W456" s="16">
        <v>1429.8757049657156</v>
      </c>
      <c r="X456" s="16">
        <v>0.58409955268207336</v>
      </c>
      <c r="Z456" s="16">
        <v>0.45400000000000001</v>
      </c>
      <c r="AA456" s="35">
        <v>0.7956847684969397</v>
      </c>
      <c r="AB456" s="23">
        <v>0.5511892415207057</v>
      </c>
      <c r="AC456" s="16">
        <v>2.6977393582741764</v>
      </c>
      <c r="AD456" s="16">
        <v>1</v>
      </c>
    </row>
    <row r="457" spans="20:30" x14ac:dyDescent="0.4">
      <c r="T457" s="16">
        <v>0.45500000000000002</v>
      </c>
      <c r="U457" s="16">
        <v>900.53105062422037</v>
      </c>
      <c r="V457" s="16">
        <v>0.36786399126806385</v>
      </c>
      <c r="W457" s="16">
        <v>1430.1737049657156</v>
      </c>
      <c r="X457" s="16">
        <v>0.58422128470821721</v>
      </c>
      <c r="Z457" s="16">
        <v>0.45500000000000002</v>
      </c>
      <c r="AA457" s="35">
        <v>0.79270846805806294</v>
      </c>
      <c r="AB457" s="23">
        <v>0.55409476066956953</v>
      </c>
      <c r="AC457" s="16">
        <v>2.6730216882413367</v>
      </c>
      <c r="AD457" s="16">
        <v>1</v>
      </c>
    </row>
    <row r="458" spans="20:30" x14ac:dyDescent="0.4">
      <c r="T458" s="16">
        <v>0.45600000000000002</v>
      </c>
      <c r="U458" s="16">
        <v>900.55647944275802</v>
      </c>
      <c r="V458" s="16">
        <v>0.36787437885733582</v>
      </c>
      <c r="W458" s="16">
        <v>1430.4717049657156</v>
      </c>
      <c r="X458" s="16">
        <v>0.58434301673436095</v>
      </c>
      <c r="Z458" s="16">
        <v>0.45600000000000002</v>
      </c>
      <c r="AA458" s="35">
        <v>0.7897321676191702</v>
      </c>
      <c r="AB458" s="23">
        <v>0.55700027981843081</v>
      </c>
      <c r="AC458" s="16">
        <v>2.6490037658713828</v>
      </c>
      <c r="AD458" s="16">
        <v>1</v>
      </c>
    </row>
    <row r="459" spans="20:30" x14ac:dyDescent="0.4">
      <c r="T459" s="16">
        <v>0.45700000000000002</v>
      </c>
      <c r="U459" s="16">
        <v>900.58190826129567</v>
      </c>
      <c r="V459" s="16">
        <v>0.36788476644660772</v>
      </c>
      <c r="W459" s="16">
        <v>1430.7697049657156</v>
      </c>
      <c r="X459" s="16">
        <v>0.58446474876050469</v>
      </c>
      <c r="Z459" s="16">
        <v>0.45700000000000002</v>
      </c>
      <c r="AA459" s="35">
        <v>0.78675586718029344</v>
      </c>
      <c r="AB459" s="23">
        <v>0.55990579896729209</v>
      </c>
      <c r="AC459" s="16">
        <v>2.6256562915176698</v>
      </c>
      <c r="AD459" s="16">
        <v>1</v>
      </c>
    </row>
    <row r="460" spans="20:30" x14ac:dyDescent="0.4">
      <c r="T460" s="16">
        <v>0.45800000000000002</v>
      </c>
      <c r="U460" s="16">
        <v>900.60733707983331</v>
      </c>
      <c r="V460" s="16">
        <v>0.36789515403587963</v>
      </c>
      <c r="W460" s="16">
        <v>1431.0677049657156</v>
      </c>
      <c r="X460" s="16">
        <v>0.58458648078664854</v>
      </c>
      <c r="Z460" s="16">
        <v>0.45800000000000002</v>
      </c>
      <c r="AA460" s="35">
        <v>0.78377956674141669</v>
      </c>
      <c r="AB460" s="23">
        <v>0.56281131811615603</v>
      </c>
      <c r="AC460" s="16">
        <v>2.6029515787856932</v>
      </c>
      <c r="AD460" s="16">
        <v>1</v>
      </c>
    </row>
    <row r="461" spans="20:30" x14ac:dyDescent="0.4">
      <c r="T461" s="16">
        <v>0.45900000000000002</v>
      </c>
      <c r="U461" s="16">
        <v>900.63276589837096</v>
      </c>
      <c r="V461" s="16">
        <v>0.36790554162515154</v>
      </c>
      <c r="W461" s="16">
        <v>1431.3657049657156</v>
      </c>
      <c r="X461" s="16">
        <v>0.58470821281279228</v>
      </c>
      <c r="Z461" s="16">
        <v>0.45900000000000002</v>
      </c>
      <c r="AA461" s="35">
        <v>0.78080326630253993</v>
      </c>
      <c r="AB461" s="23">
        <v>0.56571683726501731</v>
      </c>
      <c r="AC461" s="16">
        <v>2.5808634450084078</v>
      </c>
      <c r="AD461" s="16">
        <v>1</v>
      </c>
    </row>
    <row r="462" spans="20:30" x14ac:dyDescent="0.4">
      <c r="T462" s="16">
        <v>0.46</v>
      </c>
      <c r="U462" s="16">
        <v>900.65831741612692</v>
      </c>
      <c r="V462" s="16">
        <v>0.36791597933665315</v>
      </c>
      <c r="W462" s="16">
        <v>1431.6637049657156</v>
      </c>
      <c r="X462" s="16">
        <v>0.58482994483893613</v>
      </c>
      <c r="Z462" s="16">
        <v>0.46</v>
      </c>
      <c r="AA462" s="35">
        <v>0.77781260460905932</v>
      </c>
      <c r="AB462" s="23">
        <v>0.56862235641388115</v>
      </c>
      <c r="AC462" s="16">
        <v>2.5592016838461293</v>
      </c>
      <c r="AD462" s="16">
        <v>1</v>
      </c>
    </row>
    <row r="463" spans="20:30" x14ac:dyDescent="0.4">
      <c r="T463" s="16">
        <v>0.46100000000000002</v>
      </c>
      <c r="U463" s="16">
        <v>900.68449761648367</v>
      </c>
      <c r="V463" s="16">
        <v>0.3679266738629427</v>
      </c>
      <c r="W463" s="16">
        <v>1431.9617049657156</v>
      </c>
      <c r="X463" s="16">
        <v>0.58495167686507987</v>
      </c>
      <c r="Z463" s="16">
        <v>0.46100000000000002</v>
      </c>
      <c r="AA463" s="35">
        <v>0.77474835914690687</v>
      </c>
      <c r="AB463" s="23">
        <v>0.57152787556274243</v>
      </c>
      <c r="AC463" s="16">
        <v>2.537286180905058</v>
      </c>
      <c r="AD463" s="16">
        <v>1</v>
      </c>
    </row>
    <row r="464" spans="20:30" x14ac:dyDescent="0.4">
      <c r="T464" s="16">
        <v>0.46200000000000002</v>
      </c>
      <c r="U464" s="16">
        <v>900.71067781684019</v>
      </c>
      <c r="V464" s="16">
        <v>0.36793736838923208</v>
      </c>
      <c r="W464" s="16">
        <v>1432.2597049657156</v>
      </c>
      <c r="X464" s="16">
        <v>0.58507340889122372</v>
      </c>
      <c r="Z464" s="16">
        <v>0.46200000000000002</v>
      </c>
      <c r="AA464" s="35">
        <v>0.77168411368480205</v>
      </c>
      <c r="AB464" s="23">
        <v>0.57443339471160637</v>
      </c>
      <c r="AC464" s="16">
        <v>2.5159589373407916</v>
      </c>
      <c r="AD464" s="16">
        <v>1</v>
      </c>
    </row>
    <row r="465" spans="20:30" x14ac:dyDescent="0.4">
      <c r="T465" s="16">
        <v>0.46300000000000002</v>
      </c>
      <c r="U465" s="16">
        <v>900.73685801719694</v>
      </c>
      <c r="V465" s="16">
        <v>0.36794806291552162</v>
      </c>
      <c r="W465" s="16">
        <v>1432.5577049657156</v>
      </c>
      <c r="X465" s="16">
        <v>0.58519514091736746</v>
      </c>
      <c r="Z465" s="16">
        <v>0.46300000000000002</v>
      </c>
      <c r="AA465" s="35">
        <v>0.7686198682226496</v>
      </c>
      <c r="AB465" s="23">
        <v>0.57733891386046765</v>
      </c>
      <c r="AC465" s="16">
        <v>2.4951965815976895</v>
      </c>
      <c r="AD465" s="16">
        <v>1</v>
      </c>
    </row>
    <row r="466" spans="20:30" x14ac:dyDescent="0.4">
      <c r="T466" s="16">
        <v>0.46400000000000002</v>
      </c>
      <c r="U466" s="16">
        <v>900.76675371033912</v>
      </c>
      <c r="V466" s="16">
        <v>0.36796027520847185</v>
      </c>
      <c r="W466" s="16">
        <v>1432.8996059869971</v>
      </c>
      <c r="X466" s="16">
        <v>0.58533480636723734</v>
      </c>
      <c r="Z466" s="16">
        <v>0.46400000000000002</v>
      </c>
      <c r="AA466" s="35">
        <v>0.76512074519072959</v>
      </c>
      <c r="AB466" s="23">
        <v>0.58067247078781292</v>
      </c>
      <c r="AC466" s="16">
        <v>2.4722169323099132</v>
      </c>
      <c r="AD466" s="16">
        <v>1</v>
      </c>
    </row>
    <row r="467" spans="20:30" x14ac:dyDescent="0.4">
      <c r="T467" s="16">
        <v>0.46500000000000002</v>
      </c>
      <c r="U467" s="16">
        <v>900.8014818843053</v>
      </c>
      <c r="V467" s="16">
        <v>0.36797446155404628</v>
      </c>
      <c r="W467" s="16">
        <v>1433.298605986997</v>
      </c>
      <c r="X467" s="16">
        <v>0.5854977965633158</v>
      </c>
      <c r="Z467" s="16">
        <v>0.46500000000000002</v>
      </c>
      <c r="AA467" s="35">
        <v>0.76105600741048141</v>
      </c>
      <c r="AB467" s="23">
        <v>0.58456274642672679</v>
      </c>
      <c r="AC467" s="16">
        <v>2.4464425327944777</v>
      </c>
      <c r="AD467" s="16">
        <v>1</v>
      </c>
    </row>
    <row r="468" spans="20:30" x14ac:dyDescent="0.4">
      <c r="T468" s="16">
        <v>0.46600000000000003</v>
      </c>
      <c r="U468" s="16">
        <v>900.83621005827149</v>
      </c>
      <c r="V468" s="16">
        <v>0.36798864789962071</v>
      </c>
      <c r="W468" s="16">
        <v>1433.6976059869971</v>
      </c>
      <c r="X468" s="16">
        <v>0.58566078675939426</v>
      </c>
      <c r="Z468" s="16">
        <v>0.46600000000000003</v>
      </c>
      <c r="AA468" s="35">
        <v>0.75699126963023311</v>
      </c>
      <c r="AB468" s="23">
        <v>0.58845302206564076</v>
      </c>
      <c r="AC468" s="16">
        <v>2.4215303753500503</v>
      </c>
      <c r="AD468" s="16">
        <v>1</v>
      </c>
    </row>
    <row r="469" spans="20:30" x14ac:dyDescent="0.4">
      <c r="T469" s="16">
        <v>0.46700000000000003</v>
      </c>
      <c r="U469" s="16">
        <v>900.87093823223768</v>
      </c>
      <c r="V469" s="16">
        <v>0.36800283424519514</v>
      </c>
      <c r="W469" s="16">
        <v>1434.0966059869972</v>
      </c>
      <c r="X469" s="16">
        <v>0.58582377695547272</v>
      </c>
      <c r="Z469" s="16">
        <v>0.46700000000000003</v>
      </c>
      <c r="AA469" s="35">
        <v>0.75292653184998493</v>
      </c>
      <c r="AB469" s="23">
        <v>0.59234329770455463</v>
      </c>
      <c r="AC469" s="16">
        <v>2.3974379043601024</v>
      </c>
      <c r="AD469" s="16">
        <v>1</v>
      </c>
    </row>
    <row r="470" spans="20:30" x14ac:dyDescent="0.4">
      <c r="T470" s="16">
        <v>0.46800000000000003</v>
      </c>
      <c r="U470" s="16">
        <v>900.90566640620409</v>
      </c>
      <c r="V470" s="16">
        <v>0.36801702059076963</v>
      </c>
      <c r="W470" s="16">
        <v>1434.4956059869971</v>
      </c>
      <c r="X470" s="16">
        <v>0.58598676715155107</v>
      </c>
      <c r="Z470" s="16">
        <v>0.46800000000000003</v>
      </c>
      <c r="AA470" s="35">
        <v>0.74886179406972075</v>
      </c>
      <c r="AB470" s="23">
        <v>0.59623357334346583</v>
      </c>
      <c r="AC470" s="16">
        <v>2.3741253193032352</v>
      </c>
      <c r="AD470" s="16">
        <v>1</v>
      </c>
    </row>
    <row r="471" spans="20:30" x14ac:dyDescent="0.4">
      <c r="T471" s="16">
        <v>0.46900000000000003</v>
      </c>
      <c r="U471" s="16">
        <v>900.94039458017005</v>
      </c>
      <c r="V471" s="16">
        <v>0.368031206936344</v>
      </c>
      <c r="W471" s="16">
        <v>1434.894605986997</v>
      </c>
      <c r="X471" s="16">
        <v>0.58614975734762953</v>
      </c>
      <c r="Z471" s="16">
        <v>0.46900000000000003</v>
      </c>
      <c r="AA471" s="35">
        <v>0.74479705628948845</v>
      </c>
      <c r="AB471" s="23">
        <v>0.6001238489823798</v>
      </c>
      <c r="AC471" s="16">
        <v>2.3515553553454613</v>
      </c>
      <c r="AD471" s="16">
        <v>1</v>
      </c>
    </row>
    <row r="472" spans="20:30" x14ac:dyDescent="0.4">
      <c r="T472" s="16">
        <v>0.47000000000000003</v>
      </c>
      <c r="U472" s="16">
        <v>900.97512275413646</v>
      </c>
      <c r="V472" s="16">
        <v>0.36804539328191849</v>
      </c>
      <c r="W472" s="16">
        <v>1435.2936059869971</v>
      </c>
      <c r="X472" s="16">
        <v>0.58631274754370799</v>
      </c>
      <c r="Z472" s="16">
        <v>0.47000000000000003</v>
      </c>
      <c r="AA472" s="35">
        <v>0.74073231850922427</v>
      </c>
      <c r="AB472" s="23">
        <v>0.60401412462129367</v>
      </c>
      <c r="AC472" s="16">
        <v>2.3296930845689818</v>
      </c>
      <c r="AD472" s="16">
        <v>1</v>
      </c>
    </row>
    <row r="473" spans="20:30" x14ac:dyDescent="0.4">
      <c r="T473" s="16">
        <v>0.47100000000000003</v>
      </c>
      <c r="U473" s="16">
        <v>901.00985092810265</v>
      </c>
      <c r="V473" s="16">
        <v>0.36805957962749292</v>
      </c>
      <c r="W473" s="16">
        <v>1435.692605986997</v>
      </c>
      <c r="X473" s="16">
        <v>0.58647573773978634</v>
      </c>
      <c r="Z473" s="16">
        <v>0.47100000000000003</v>
      </c>
      <c r="AA473" s="35">
        <v>0.73666758072897609</v>
      </c>
      <c r="AB473" s="23">
        <v>0.60790440026020498</v>
      </c>
      <c r="AC473" s="16">
        <v>2.3085057356137555</v>
      </c>
      <c r="AD473" s="16">
        <v>1</v>
      </c>
    </row>
    <row r="474" spans="20:30" x14ac:dyDescent="0.4">
      <c r="T474" s="16">
        <v>0.47200000000000003</v>
      </c>
      <c r="U474" s="16">
        <v>901.04457910206884</v>
      </c>
      <c r="V474" s="16">
        <v>0.36807376597306735</v>
      </c>
      <c r="W474" s="16">
        <v>1436.0916059869971</v>
      </c>
      <c r="X474" s="16">
        <v>0.5866387279358648</v>
      </c>
      <c r="Z474" s="16">
        <v>0.47200000000000003</v>
      </c>
      <c r="AA474" s="35">
        <v>0.73260284294872791</v>
      </c>
      <c r="AB474" s="23">
        <v>0.61179467589911884</v>
      </c>
      <c r="AC474" s="16">
        <v>2.2879625297654536</v>
      </c>
      <c r="AD474" s="16">
        <v>1</v>
      </c>
    </row>
    <row r="475" spans="20:30" x14ac:dyDescent="0.4">
      <c r="T475" s="16">
        <v>0.47300000000000003</v>
      </c>
      <c r="U475" s="16">
        <v>901.07930727603502</v>
      </c>
      <c r="V475" s="16">
        <v>0.36808795231864178</v>
      </c>
      <c r="W475" s="16">
        <v>1436.490605986997</v>
      </c>
      <c r="X475" s="16">
        <v>0.58680171813194326</v>
      </c>
      <c r="Z475" s="16">
        <v>0.47300000000000003</v>
      </c>
      <c r="AA475" s="35">
        <v>0.72853810516847961</v>
      </c>
      <c r="AB475" s="23">
        <v>0.61568495153803271</v>
      </c>
      <c r="AC475" s="16">
        <v>2.268034531771578</v>
      </c>
      <c r="AD475" s="16">
        <v>1</v>
      </c>
    </row>
    <row r="476" spans="20:30" x14ac:dyDescent="0.4">
      <c r="T476" s="16">
        <v>0.47400000000000003</v>
      </c>
      <c r="U476" s="16">
        <v>901.11403545000121</v>
      </c>
      <c r="V476" s="16">
        <v>0.36810213866421621</v>
      </c>
      <c r="W476" s="16">
        <v>1436.8896059869971</v>
      </c>
      <c r="X476" s="16">
        <v>0.58696470832802172</v>
      </c>
      <c r="Z476" s="16">
        <v>0.47400000000000003</v>
      </c>
      <c r="AA476" s="35">
        <v>0.72447336738823143</v>
      </c>
      <c r="AB476" s="23">
        <v>0.61957522717694669</v>
      </c>
      <c r="AC476" s="16">
        <v>2.2486945138619707</v>
      </c>
      <c r="AD476" s="16">
        <v>1</v>
      </c>
    </row>
    <row r="477" spans="20:30" x14ac:dyDescent="0.4">
      <c r="T477" s="16">
        <v>0.47500000000000003</v>
      </c>
      <c r="U477" s="16">
        <v>901.1487636239674</v>
      </c>
      <c r="V477" s="16">
        <v>0.36811632500979058</v>
      </c>
      <c r="W477" s="16">
        <v>1437.288605986997</v>
      </c>
      <c r="X477" s="16">
        <v>0.58712769852410007</v>
      </c>
      <c r="Z477" s="16">
        <v>0.47500000000000003</v>
      </c>
      <c r="AA477" s="35">
        <v>0.72040862960799912</v>
      </c>
      <c r="AB477" s="23">
        <v>0.62346550281585789</v>
      </c>
      <c r="AC477" s="16">
        <v>2.2299168316308493</v>
      </c>
      <c r="AD477" s="16">
        <v>1</v>
      </c>
    </row>
    <row r="478" spans="20:30" x14ac:dyDescent="0.4">
      <c r="T478" s="16">
        <v>0.47600000000000003</v>
      </c>
      <c r="U478" s="16">
        <v>901.20326244249645</v>
      </c>
      <c r="V478" s="16">
        <v>0.36813858759905899</v>
      </c>
      <c r="W478" s="16">
        <v>1437.7353075004494</v>
      </c>
      <c r="X478" s="16">
        <v>0.58731017463253654</v>
      </c>
      <c r="Z478" s="16">
        <v>0.47600000000000003</v>
      </c>
      <c r="AA478" s="35">
        <v>0.71402984888461452</v>
      </c>
      <c r="AB478" s="23">
        <v>0.62782087127613317</v>
      </c>
      <c r="AC478" s="16">
        <v>2.1954069990431102</v>
      </c>
      <c r="AD478" s="16">
        <v>1</v>
      </c>
    </row>
    <row r="479" spans="20:30" x14ac:dyDescent="0.4">
      <c r="T479" s="16">
        <v>0.47700000000000004</v>
      </c>
      <c r="U479" s="16">
        <v>901.30762086603272</v>
      </c>
      <c r="V479" s="16">
        <v>0.368181217674033</v>
      </c>
      <c r="W479" s="16">
        <v>1438.3023075004492</v>
      </c>
      <c r="X479" s="16">
        <v>0.58754179227959524</v>
      </c>
      <c r="Z479" s="16">
        <v>0.47700000000000004</v>
      </c>
      <c r="AA479" s="35">
        <v>0.70181528133354454</v>
      </c>
      <c r="AB479" s="23">
        <v>0.63334915771037525</v>
      </c>
      <c r="AC479" s="16">
        <v>2.1240161485901941</v>
      </c>
      <c r="AD479" s="16">
        <v>1</v>
      </c>
    </row>
    <row r="480" spans="20:30" x14ac:dyDescent="0.4">
      <c r="T480" s="16">
        <v>0.47800000000000004</v>
      </c>
      <c r="U480" s="16">
        <v>901.41197928956922</v>
      </c>
      <c r="V480" s="16">
        <v>0.36822384774900702</v>
      </c>
      <c r="W480" s="16">
        <v>1438.8693075004494</v>
      </c>
      <c r="X480" s="16">
        <v>0.58777340992665417</v>
      </c>
      <c r="Z480" s="16">
        <v>0.47800000000000004</v>
      </c>
      <c r="AA480" s="35">
        <v>0.68960071378247445</v>
      </c>
      <c r="AB480" s="23">
        <v>0.63887744414462277</v>
      </c>
      <c r="AC480" s="16">
        <v>2.0582439216593498</v>
      </c>
      <c r="AD480" s="16">
        <v>1</v>
      </c>
    </row>
    <row r="481" spans="20:30" x14ac:dyDescent="0.4">
      <c r="T481" s="16">
        <v>0.47900000000000004</v>
      </c>
      <c r="U481" s="16">
        <v>901.51633771310549</v>
      </c>
      <c r="V481" s="16">
        <v>0.36826647782398098</v>
      </c>
      <c r="W481" s="16">
        <v>1439.4363075004494</v>
      </c>
      <c r="X481" s="16">
        <v>0.58800502757371298</v>
      </c>
      <c r="Z481" s="16">
        <v>0.47900000000000004</v>
      </c>
      <c r="AA481" s="35">
        <v>0.67738614623142035</v>
      </c>
      <c r="AB481" s="23">
        <v>0.64440573057886763</v>
      </c>
      <c r="AC481" s="16">
        <v>1.9974521337236766</v>
      </c>
      <c r="AD481" s="16">
        <v>1</v>
      </c>
    </row>
    <row r="482" spans="20:30" x14ac:dyDescent="0.4">
      <c r="T482" s="16">
        <v>0.48</v>
      </c>
      <c r="U482" s="16">
        <v>901.62069613664175</v>
      </c>
      <c r="V482" s="16">
        <v>0.36830910789895499</v>
      </c>
      <c r="W482" s="16">
        <v>1440.003307500449</v>
      </c>
      <c r="X482" s="16">
        <v>0.58823664522077168</v>
      </c>
      <c r="Z482" s="16">
        <v>0.48</v>
      </c>
      <c r="AA482" s="35">
        <v>0.66517157868035037</v>
      </c>
      <c r="AB482" s="23">
        <v>0.64993401701310971</v>
      </c>
      <c r="AC482" s="16">
        <v>1.94109572434605</v>
      </c>
      <c r="AD482" s="16">
        <v>1</v>
      </c>
    </row>
    <row r="483" spans="20:30" x14ac:dyDescent="0.4">
      <c r="T483" s="16">
        <v>0.48099999999999998</v>
      </c>
      <c r="U483" s="16">
        <v>901.72505456017802</v>
      </c>
      <c r="V483" s="16">
        <v>0.36835173797392895</v>
      </c>
      <c r="W483" s="16">
        <v>1440.5703075004492</v>
      </c>
      <c r="X483" s="16">
        <v>0.5884682628678306</v>
      </c>
      <c r="Z483" s="16">
        <v>0.48099999999999998</v>
      </c>
      <c r="AA483" s="35">
        <v>0.65295701112929616</v>
      </c>
      <c r="AB483" s="23">
        <v>0.65546230344735723</v>
      </c>
      <c r="AC483" s="16">
        <v>1.8887063691454078</v>
      </c>
      <c r="AD483" s="16">
        <v>1</v>
      </c>
    </row>
    <row r="484" spans="20:30" x14ac:dyDescent="0.4">
      <c r="T484" s="16">
        <v>0.48199999999999998</v>
      </c>
      <c r="U484" s="16">
        <v>901.82941298371452</v>
      </c>
      <c r="V484" s="16">
        <v>0.36839436804890296</v>
      </c>
      <c r="W484" s="16">
        <v>1441.1373075004494</v>
      </c>
      <c r="X484" s="16">
        <v>0.58869988051488942</v>
      </c>
      <c r="Z484" s="16">
        <v>0.48199999999999998</v>
      </c>
      <c r="AA484" s="35">
        <v>0.64074244357822618</v>
      </c>
      <c r="AB484" s="23">
        <v>0.66099058988160209</v>
      </c>
      <c r="AC484" s="16">
        <v>1.8398794348686967</v>
      </c>
      <c r="AD484" s="16">
        <v>1</v>
      </c>
    </row>
    <row r="485" spans="20:30" x14ac:dyDescent="0.4">
      <c r="T485" s="16">
        <v>0.48299999999999998</v>
      </c>
      <c r="U485" s="16">
        <v>901.93377140725079</v>
      </c>
      <c r="V485" s="16">
        <v>0.36843699812387698</v>
      </c>
      <c r="W485" s="16">
        <v>1441.7043075004492</v>
      </c>
      <c r="X485" s="16">
        <v>0.58893149816194823</v>
      </c>
      <c r="Z485" s="16">
        <v>0.48299999999999998</v>
      </c>
      <c r="AA485" s="35">
        <v>0.6285278760271561</v>
      </c>
      <c r="AB485" s="23">
        <v>0.66651887631584683</v>
      </c>
      <c r="AC485" s="16">
        <v>1.7942635080864695</v>
      </c>
      <c r="AD485" s="16">
        <v>1</v>
      </c>
    </row>
    <row r="486" spans="20:30" x14ac:dyDescent="0.4">
      <c r="T486" s="16">
        <v>0.48399999999999999</v>
      </c>
      <c r="U486" s="16">
        <v>902.03812983078706</v>
      </c>
      <c r="V486" s="16">
        <v>0.36847962819885094</v>
      </c>
      <c r="W486" s="16">
        <v>1442.2713075004492</v>
      </c>
      <c r="X486" s="16">
        <v>0.58916311580900704</v>
      </c>
      <c r="Z486" s="16">
        <v>0.48399999999999999</v>
      </c>
      <c r="AA486" s="35">
        <v>0.616313308476102</v>
      </c>
      <c r="AB486" s="23">
        <v>0.67204716275009169</v>
      </c>
      <c r="AC486" s="16">
        <v>1.7515519239953443</v>
      </c>
      <c r="AD486" s="16">
        <v>1</v>
      </c>
    </row>
    <row r="487" spans="20:30" x14ac:dyDescent="0.4">
      <c r="T487" s="16">
        <v>0.48499999999999999</v>
      </c>
      <c r="U487" s="16">
        <v>902.14248825432333</v>
      </c>
      <c r="V487" s="16">
        <v>0.3685222582738249</v>
      </c>
      <c r="W487" s="16">
        <v>1442.8383075004492</v>
      </c>
      <c r="X487" s="16">
        <v>0.58939473345606586</v>
      </c>
      <c r="Z487" s="16">
        <v>0.48499999999999999</v>
      </c>
      <c r="AA487" s="35">
        <v>0.60409874092504789</v>
      </c>
      <c r="AB487" s="23">
        <v>0.67757544918433643</v>
      </c>
      <c r="AC487" s="16">
        <v>1.7114758633694007</v>
      </c>
      <c r="AD487" s="16">
        <v>1</v>
      </c>
    </row>
    <row r="488" spans="20:30" x14ac:dyDescent="0.4">
      <c r="T488" s="16">
        <v>0.48599999999999999</v>
      </c>
      <c r="U488" s="16">
        <v>902.24684667785959</v>
      </c>
      <c r="V488" s="16">
        <v>0.36856488834879886</v>
      </c>
      <c r="W488" s="16">
        <v>1443.405307500449</v>
      </c>
      <c r="X488" s="16">
        <v>0.58962635110312456</v>
      </c>
      <c r="Z488" s="16">
        <v>0.48599999999999999</v>
      </c>
      <c r="AA488" s="35">
        <v>0.59188417337399379</v>
      </c>
      <c r="AB488" s="23">
        <v>0.68310373561857862</v>
      </c>
      <c r="AC488" s="16">
        <v>1.6737986891269692</v>
      </c>
      <c r="AD488" s="16">
        <v>1</v>
      </c>
    </row>
    <row r="489" spans="20:30" x14ac:dyDescent="0.4">
      <c r="T489" s="16">
        <v>0.48699999999999999</v>
      </c>
      <c r="U489" s="16">
        <v>902.35120510139586</v>
      </c>
      <c r="V489" s="16">
        <v>0.36860751842377282</v>
      </c>
      <c r="W489" s="16">
        <v>1443.9723075004492</v>
      </c>
      <c r="X489" s="16">
        <v>0.58985796875018348</v>
      </c>
      <c r="Z489" s="16">
        <v>0.48699999999999999</v>
      </c>
      <c r="AA489" s="35">
        <v>0.57966960582293969</v>
      </c>
      <c r="AB489" s="23">
        <v>0.68863202205282614</v>
      </c>
      <c r="AC489" s="16">
        <v>1.6383112703544971</v>
      </c>
      <c r="AD489" s="16">
        <v>1</v>
      </c>
    </row>
    <row r="490" spans="20:30" x14ac:dyDescent="0.4">
      <c r="T490" s="16">
        <v>0.48799999999999999</v>
      </c>
      <c r="U490" s="16">
        <v>902.45556352493213</v>
      </c>
      <c r="V490" s="16">
        <v>0.36865014849874678</v>
      </c>
      <c r="W490" s="16">
        <v>1444.5393075004492</v>
      </c>
      <c r="X490" s="16">
        <v>0.59008958639724229</v>
      </c>
      <c r="Z490" s="16">
        <v>0.48799999999999999</v>
      </c>
      <c r="AA490" s="35">
        <v>0.56745503827188548</v>
      </c>
      <c r="AB490" s="23">
        <v>0.69416030848707089</v>
      </c>
      <c r="AC490" s="16">
        <v>1.6048280985952168</v>
      </c>
      <c r="AD490" s="16">
        <v>1</v>
      </c>
    </row>
    <row r="491" spans="20:30" x14ac:dyDescent="0.4">
      <c r="T491" s="16">
        <v>0.48899999999999999</v>
      </c>
      <c r="U491" s="16">
        <v>902.5599219484684</v>
      </c>
      <c r="V491" s="16">
        <v>0.36869277857372074</v>
      </c>
      <c r="W491" s="16">
        <v>1445.1063075004495</v>
      </c>
      <c r="X491" s="16">
        <v>0.59032120404430122</v>
      </c>
      <c r="Z491" s="16">
        <v>0.48899999999999999</v>
      </c>
      <c r="AA491" s="35">
        <v>0.55524047072083138</v>
      </c>
      <c r="AB491" s="23">
        <v>0.69968859492131841</v>
      </c>
      <c r="AC491" s="16">
        <v>1.5731840440952864</v>
      </c>
      <c r="AD491" s="16">
        <v>1</v>
      </c>
    </row>
    <row r="492" spans="20:30" x14ac:dyDescent="0.4">
      <c r="T492" s="16">
        <v>0.49</v>
      </c>
      <c r="U492" s="16">
        <v>902.66428037200467</v>
      </c>
      <c r="V492" s="16">
        <v>0.3687354086486947</v>
      </c>
      <c r="W492" s="16">
        <v>1445.6733075004493</v>
      </c>
      <c r="X492" s="16">
        <v>0.59055282169136003</v>
      </c>
      <c r="Z492" s="16">
        <v>0.49</v>
      </c>
      <c r="AA492" s="35">
        <v>0.54302590316977728</v>
      </c>
      <c r="AB492" s="23">
        <v>0.70521688135556326</v>
      </c>
      <c r="AC492" s="16">
        <v>1.5432316322681392</v>
      </c>
      <c r="AD492" s="16">
        <v>1</v>
      </c>
    </row>
    <row r="493" spans="20:30" x14ac:dyDescent="0.4">
      <c r="T493" s="16">
        <v>0.49099999999999999</v>
      </c>
      <c r="U493" s="16">
        <v>902.76863879554116</v>
      </c>
      <c r="V493" s="16">
        <v>0.36877803872366877</v>
      </c>
      <c r="W493" s="16">
        <v>1446.2403075004493</v>
      </c>
      <c r="X493" s="16">
        <v>0.59078443933841884</v>
      </c>
      <c r="Z493" s="16">
        <v>0.49099999999999999</v>
      </c>
      <c r="AA493" s="35">
        <v>0.53081133561869132</v>
      </c>
      <c r="AB493" s="23">
        <v>0.71074516778980801</v>
      </c>
      <c r="AC493" s="16">
        <v>1.514838745575888</v>
      </c>
      <c r="AD493" s="16">
        <v>1</v>
      </c>
    </row>
    <row r="494" spans="20:30" x14ac:dyDescent="0.4">
      <c r="T494" s="16">
        <v>0.49199999999999999</v>
      </c>
      <c r="U494" s="16">
        <v>902.87299721907743</v>
      </c>
      <c r="V494" s="16">
        <v>0.36882066879864273</v>
      </c>
      <c r="W494" s="16">
        <v>1446.8073075004493</v>
      </c>
      <c r="X494" s="16">
        <v>0.59101605698547766</v>
      </c>
      <c r="Z494" s="16">
        <v>0.49199999999999999</v>
      </c>
      <c r="AA494" s="35">
        <v>0.51859676806763721</v>
      </c>
      <c r="AB494" s="23">
        <v>0.71627345422405286</v>
      </c>
      <c r="AC494" s="16">
        <v>1.487886675269952</v>
      </c>
      <c r="AD494" s="16">
        <v>1</v>
      </c>
    </row>
    <row r="495" spans="20:30" x14ac:dyDescent="0.4">
      <c r="T495" s="16">
        <v>0.49299999999999999</v>
      </c>
      <c r="U495" s="16">
        <v>902.97735564261393</v>
      </c>
      <c r="V495" s="16">
        <v>0.3688632988736168</v>
      </c>
      <c r="W495" s="16">
        <v>1447.3743075004493</v>
      </c>
      <c r="X495" s="16">
        <v>0.59124767463253647</v>
      </c>
      <c r="Z495" s="16">
        <v>0.49299999999999999</v>
      </c>
      <c r="AA495" s="35">
        <v>0.50638220051655125</v>
      </c>
      <c r="AB495" s="23">
        <v>0.72180174065829761</v>
      </c>
      <c r="AC495" s="16">
        <v>1.4622684623885813</v>
      </c>
      <c r="AD495" s="16">
        <v>1</v>
      </c>
    </row>
    <row r="496" spans="20:30" x14ac:dyDescent="0.4">
      <c r="T496" s="16">
        <v>0.49399999999999999</v>
      </c>
      <c r="U496" s="16">
        <v>903.08179114992458</v>
      </c>
      <c r="V496" s="16">
        <v>0.3689059604370607</v>
      </c>
      <c r="W496" s="16">
        <v>1447.9442742565911</v>
      </c>
      <c r="X496" s="16">
        <v>0.59148050418978393</v>
      </c>
      <c r="Z496" s="16">
        <v>0.49399999999999999</v>
      </c>
      <c r="AA496" s="35">
        <v>0.49415861074249079</v>
      </c>
      <c r="AB496" s="23">
        <v>0.72735895315556276</v>
      </c>
      <c r="AC496" s="16">
        <v>1.4379190169139864</v>
      </c>
      <c r="AD496" s="16">
        <v>1</v>
      </c>
    </row>
    <row r="497" spans="20:30" x14ac:dyDescent="0.4">
      <c r="T497" s="16">
        <v>0.495</v>
      </c>
      <c r="U497" s="16">
        <v>903.19004695013496</v>
      </c>
      <c r="V497" s="16">
        <v>0.36895018257766948</v>
      </c>
      <c r="W497" s="16">
        <v>1448.6612742565915</v>
      </c>
      <c r="X497" s="16">
        <v>0.59177339634664683</v>
      </c>
      <c r="Z497" s="16">
        <v>0.495</v>
      </c>
      <c r="AA497" s="35">
        <v>0.48148787713369062</v>
      </c>
      <c r="AB497" s="23">
        <v>0.73434974922850071</v>
      </c>
      <c r="AC497" s="16">
        <v>1.4162634138022685</v>
      </c>
      <c r="AD497" s="16">
        <v>1</v>
      </c>
    </row>
    <row r="498" spans="20:30" x14ac:dyDescent="0.4">
      <c r="T498" s="16">
        <v>0.496</v>
      </c>
      <c r="U498" s="16">
        <v>903.29830275034487</v>
      </c>
      <c r="V498" s="16">
        <v>0.36899440471827816</v>
      </c>
      <c r="W498" s="16">
        <v>1449.3782742565911</v>
      </c>
      <c r="X498" s="16">
        <v>0.5920662885035094</v>
      </c>
      <c r="Z498" s="16">
        <v>0.496</v>
      </c>
      <c r="AA498" s="35">
        <v>0.46881714352492226</v>
      </c>
      <c r="AB498" s="23">
        <v>0.74134054530143068</v>
      </c>
      <c r="AC498" s="16">
        <v>1.3956409478667222</v>
      </c>
      <c r="AD498" s="16">
        <v>1</v>
      </c>
    </row>
    <row r="499" spans="20:30" x14ac:dyDescent="0.4">
      <c r="T499" s="16">
        <v>0.497</v>
      </c>
      <c r="U499" s="16">
        <v>903.40655855055502</v>
      </c>
      <c r="V499" s="16">
        <v>0.36903862685888683</v>
      </c>
      <c r="W499" s="16">
        <v>1450.0952742565914</v>
      </c>
      <c r="X499" s="16">
        <v>0.5923591806603723</v>
      </c>
      <c r="Z499" s="16">
        <v>0.497</v>
      </c>
      <c r="AA499" s="35">
        <v>0.45614640991615391</v>
      </c>
      <c r="AB499" s="23">
        <v>0.74833134137436863</v>
      </c>
      <c r="AC499" s="16">
        <v>1.3759794088313329</v>
      </c>
      <c r="AD499" s="16">
        <v>1</v>
      </c>
    </row>
    <row r="500" spans="20:30" x14ac:dyDescent="0.4">
      <c r="T500" s="16">
        <v>0.498</v>
      </c>
      <c r="U500" s="16">
        <v>903.51481435076516</v>
      </c>
      <c r="V500" s="16">
        <v>0.36908284899949556</v>
      </c>
      <c r="W500" s="16">
        <v>1450.8122742565913</v>
      </c>
      <c r="X500" s="16">
        <v>0.59265207281723498</v>
      </c>
      <c r="Z500" s="16">
        <v>0.498</v>
      </c>
      <c r="AA500" s="35">
        <v>0.44347567630736967</v>
      </c>
      <c r="AB500" s="23">
        <v>0.75532213744730126</v>
      </c>
      <c r="AC500" s="16">
        <v>1.3572131626442037</v>
      </c>
      <c r="AD500" s="16">
        <v>1</v>
      </c>
    </row>
    <row r="501" spans="20:30" x14ac:dyDescent="0.4">
      <c r="T501" s="16">
        <v>0.499</v>
      </c>
      <c r="U501" s="16">
        <v>903.62307015097531</v>
      </c>
      <c r="V501" s="16">
        <v>0.36912707114010429</v>
      </c>
      <c r="W501" s="16">
        <v>1451.5292742565912</v>
      </c>
      <c r="X501" s="16">
        <v>0.59294496497409765</v>
      </c>
      <c r="Z501" s="16">
        <v>0.499</v>
      </c>
      <c r="AA501" s="35">
        <v>0.43080494269858538</v>
      </c>
      <c r="AB501" s="23">
        <v>0.76231293352023399</v>
      </c>
      <c r="AC501" s="16">
        <v>1.3392824195178397</v>
      </c>
      <c r="AD501" s="16">
        <v>1</v>
      </c>
    </row>
    <row r="502" spans="20:30" x14ac:dyDescent="0.4">
      <c r="T502" s="16">
        <v>0.5</v>
      </c>
      <c r="U502" s="16">
        <v>903.73132595118545</v>
      </c>
      <c r="V502" s="16">
        <v>0.36917129328071302</v>
      </c>
      <c r="W502" s="16">
        <v>1452.2462742565913</v>
      </c>
      <c r="X502" s="16">
        <v>0.59323785713096044</v>
      </c>
      <c r="Z502" s="16">
        <v>0.5</v>
      </c>
      <c r="AA502" s="35">
        <v>0.41813420908980115</v>
      </c>
      <c r="AB502" s="23">
        <v>0.76930372959316928</v>
      </c>
      <c r="AC502" s="16">
        <v>1.3221325976042786</v>
      </c>
      <c r="AD502" s="16">
        <v>1</v>
      </c>
    </row>
    <row r="503" spans="20:30" x14ac:dyDescent="0.4">
      <c r="T503" s="16">
        <v>0.501</v>
      </c>
      <c r="U503" s="16">
        <v>903.8395817513956</v>
      </c>
      <c r="V503" s="16">
        <v>0.36921551542132175</v>
      </c>
      <c r="W503" s="16">
        <v>1452.9632742565911</v>
      </c>
      <c r="X503" s="16">
        <v>0.59353074928782323</v>
      </c>
      <c r="Z503" s="16">
        <v>0.501</v>
      </c>
      <c r="AA503" s="35">
        <v>0.40546347548101686</v>
      </c>
      <c r="AB503" s="23">
        <v>0.77629452566610457</v>
      </c>
      <c r="AC503" s="16">
        <v>1.305713768038347</v>
      </c>
      <c r="AD503" s="16">
        <v>1</v>
      </c>
    </row>
    <row r="504" spans="20:30" x14ac:dyDescent="0.4">
      <c r="T504" s="16">
        <v>0.502</v>
      </c>
      <c r="U504" s="16">
        <v>903.94783755160574</v>
      </c>
      <c r="V504" s="16">
        <v>0.36925973756193042</v>
      </c>
      <c r="W504" s="16">
        <v>1453.6802742565912</v>
      </c>
      <c r="X504" s="16">
        <v>0.59382364144468591</v>
      </c>
      <c r="Z504" s="16">
        <v>0.502</v>
      </c>
      <c r="AA504" s="35">
        <v>0.3927927418722485</v>
      </c>
      <c r="AB504" s="23">
        <v>0.7832853217390372</v>
      </c>
      <c r="AC504" s="16">
        <v>1.2899801694633899</v>
      </c>
      <c r="AD504" s="16">
        <v>1</v>
      </c>
    </row>
    <row r="505" spans="20:30" x14ac:dyDescent="0.4">
      <c r="T505" s="16">
        <v>0.503</v>
      </c>
      <c r="U505" s="16">
        <v>904.05609335181612</v>
      </c>
      <c r="V505" s="16">
        <v>0.36930395970253926</v>
      </c>
      <c r="W505" s="16">
        <v>1454.3972742565911</v>
      </c>
      <c r="X505" s="16">
        <v>0.5941165336015487</v>
      </c>
      <c r="Z505" s="16">
        <v>0.503</v>
      </c>
      <c r="AA505" s="35">
        <v>0.38012200826343245</v>
      </c>
      <c r="AB505" s="23">
        <v>0.79027611781197249</v>
      </c>
      <c r="AC505" s="16">
        <v>1.274889782097345</v>
      </c>
      <c r="AD505" s="16">
        <v>1</v>
      </c>
    </row>
    <row r="506" spans="20:30" x14ac:dyDescent="0.4">
      <c r="T506" s="16">
        <v>0.504</v>
      </c>
      <c r="U506" s="16">
        <v>904.16434915202626</v>
      </c>
      <c r="V506" s="16">
        <v>0.36934818184314799</v>
      </c>
      <c r="W506" s="16">
        <v>1455.1142742565912</v>
      </c>
      <c r="X506" s="16">
        <v>0.59440942575841149</v>
      </c>
      <c r="Z506" s="16">
        <v>0.504</v>
      </c>
      <c r="AA506" s="35">
        <v>0.36745127465464816</v>
      </c>
      <c r="AB506" s="23">
        <v>0.79726691388490789</v>
      </c>
      <c r="AC506" s="16">
        <v>1.2604039529913289</v>
      </c>
      <c r="AD506" s="16">
        <v>1</v>
      </c>
    </row>
    <row r="507" spans="20:30" x14ac:dyDescent="0.4">
      <c r="T507" s="16">
        <v>0.505</v>
      </c>
      <c r="U507" s="16">
        <v>904.27260495223641</v>
      </c>
      <c r="V507" s="16">
        <v>0.36939240398375672</v>
      </c>
      <c r="W507" s="16">
        <v>1455.8312742565911</v>
      </c>
      <c r="X507" s="16">
        <v>0.59470231791527417</v>
      </c>
      <c r="Z507" s="16">
        <v>0.505</v>
      </c>
      <c r="AA507" s="35">
        <v>0.35478054104586393</v>
      </c>
      <c r="AB507" s="23">
        <v>0.80425770995784052</v>
      </c>
      <c r="AC507" s="16">
        <v>1.2464870654420381</v>
      </c>
      <c r="AD507" s="16">
        <v>1</v>
      </c>
    </row>
    <row r="508" spans="20:30" x14ac:dyDescent="0.4">
      <c r="T508" s="16">
        <v>0.50600000000000001</v>
      </c>
      <c r="U508" s="16">
        <v>904.38086075244655</v>
      </c>
      <c r="V508" s="16">
        <v>0.3694366261243654</v>
      </c>
      <c r="W508" s="16">
        <v>1456.5482742565912</v>
      </c>
      <c r="X508" s="16">
        <v>0.59499521007213696</v>
      </c>
      <c r="Z508" s="16">
        <v>0.50600000000000001</v>
      </c>
      <c r="AA508" s="35">
        <v>0.34210980743709557</v>
      </c>
      <c r="AB508" s="23">
        <v>0.81124850603077581</v>
      </c>
      <c r="AC508" s="16">
        <v>1.233106246606964</v>
      </c>
      <c r="AD508" s="16">
        <v>1</v>
      </c>
    </row>
    <row r="509" spans="20:30" x14ac:dyDescent="0.4">
      <c r="T509" s="16">
        <v>0.50700000000000001</v>
      </c>
      <c r="U509" s="16">
        <v>904.4891165526567</v>
      </c>
      <c r="V509" s="16">
        <v>0.36948084826497413</v>
      </c>
      <c r="W509" s="16">
        <v>1457.2652742565911</v>
      </c>
      <c r="X509" s="16">
        <v>0.59528810222899964</v>
      </c>
      <c r="Z509" s="16">
        <v>0.50700000000000001</v>
      </c>
      <c r="AA509" s="35">
        <v>0.32943907382831128</v>
      </c>
      <c r="AB509" s="23">
        <v>0.81823930210370843</v>
      </c>
      <c r="AC509" s="16">
        <v>1.2202311082680182</v>
      </c>
      <c r="AD509" s="16">
        <v>1</v>
      </c>
    </row>
    <row r="510" spans="20:30" x14ac:dyDescent="0.4">
      <c r="T510" s="16">
        <v>0.50800000000000001</v>
      </c>
      <c r="U510" s="16">
        <v>904.59737235286684</v>
      </c>
      <c r="V510" s="16">
        <v>0.36952507040558286</v>
      </c>
      <c r="W510" s="16">
        <v>1457.9822742565912</v>
      </c>
      <c r="X510" s="16">
        <v>0.59558099438586243</v>
      </c>
      <c r="Z510" s="16">
        <v>0.50800000000000001</v>
      </c>
      <c r="AA510" s="35">
        <v>0.31676834021952704</v>
      </c>
      <c r="AB510" s="23">
        <v>0.82523009817664383</v>
      </c>
      <c r="AC510" s="16">
        <v>1.207833516441255</v>
      </c>
      <c r="AD510" s="16">
        <v>1</v>
      </c>
    </row>
    <row r="511" spans="20:30" x14ac:dyDescent="0.4">
      <c r="T511" s="16">
        <v>0.50900000000000001</v>
      </c>
      <c r="U511" s="16">
        <v>904.70562815307676</v>
      </c>
      <c r="V511" s="16">
        <v>0.36956929254619147</v>
      </c>
      <c r="W511" s="16">
        <v>1458.699274256591</v>
      </c>
      <c r="X511" s="16">
        <v>0.59587388654272511</v>
      </c>
      <c r="Z511" s="16">
        <v>0.50900000000000001</v>
      </c>
      <c r="AA511" s="35">
        <v>0.30409760661077456</v>
      </c>
      <c r="AB511" s="23">
        <v>0.83222089424957646</v>
      </c>
      <c r="AC511" s="16">
        <v>1.19588738615547</v>
      </c>
      <c r="AD511" s="16">
        <v>1</v>
      </c>
    </row>
    <row r="512" spans="20:30" x14ac:dyDescent="0.4">
      <c r="T512" s="16">
        <v>0.51</v>
      </c>
      <c r="U512" s="16">
        <v>904.81388395328713</v>
      </c>
      <c r="V512" s="16">
        <v>0.36961351468680032</v>
      </c>
      <c r="W512" s="16">
        <v>1459.4162742565914</v>
      </c>
      <c r="X512" s="16">
        <v>0.59616677869958801</v>
      </c>
      <c r="Z512" s="16">
        <v>0.51</v>
      </c>
      <c r="AA512" s="35">
        <v>0.29142687300195852</v>
      </c>
      <c r="AB512" s="23">
        <v>0.83921169032251441</v>
      </c>
      <c r="AC512" s="16">
        <v>1.1843684982493472</v>
      </c>
      <c r="AD512" s="16">
        <v>1</v>
      </c>
    </row>
    <row r="513" spans="20:30" x14ac:dyDescent="0.4">
      <c r="T513" s="16">
        <v>0.51100000000000001</v>
      </c>
      <c r="U513" s="16">
        <v>904.92213975349705</v>
      </c>
      <c r="V513" s="16">
        <v>0.36965773682740893</v>
      </c>
      <c r="W513" s="16">
        <v>1460.1332742565912</v>
      </c>
      <c r="X513" s="16">
        <v>0.59645967085645069</v>
      </c>
      <c r="Z513" s="16">
        <v>0.51100000000000001</v>
      </c>
      <c r="AA513" s="35">
        <v>0.27875613939320604</v>
      </c>
      <c r="AB513" s="23">
        <v>0.84620248639544704</v>
      </c>
      <c r="AC513" s="16">
        <v>1.173254335480268</v>
      </c>
      <c r="AD513" s="16">
        <v>1</v>
      </c>
    </row>
    <row r="514" spans="20:30" x14ac:dyDescent="0.4">
      <c r="T514" s="16">
        <v>0.51200000000000001</v>
      </c>
      <c r="U514" s="16">
        <v>905.03039555370742</v>
      </c>
      <c r="V514" s="16">
        <v>0.36970195896801772</v>
      </c>
      <c r="W514" s="16">
        <v>1460.8502742565913</v>
      </c>
      <c r="X514" s="16">
        <v>0.59675256301331348</v>
      </c>
      <c r="Z514" s="16">
        <v>0.51200000000000001</v>
      </c>
      <c r="AA514" s="35">
        <v>0.26608540578440587</v>
      </c>
      <c r="AB514" s="23">
        <v>0.85319328246838233</v>
      </c>
      <c r="AC514" s="16">
        <v>1.1625239356089831</v>
      </c>
      <c r="AD514" s="16">
        <v>1</v>
      </c>
    </row>
    <row r="515" spans="20:30" x14ac:dyDescent="0.4">
      <c r="T515" s="16">
        <v>0.51300000000000001</v>
      </c>
      <c r="U515" s="16">
        <v>905.13865135391757</v>
      </c>
      <c r="V515" s="16">
        <v>0.36974618110862645</v>
      </c>
      <c r="W515" s="16">
        <v>1461.5672742565912</v>
      </c>
      <c r="X515" s="16">
        <v>0.59704545517017615</v>
      </c>
      <c r="Z515" s="16">
        <v>0.51300000000000001</v>
      </c>
      <c r="AA515" s="35">
        <v>0.25341467217562164</v>
      </c>
      <c r="AB515" s="23">
        <v>0.86018407854131507</v>
      </c>
      <c r="AC515" s="16">
        <v>1.1521577594458954</v>
      </c>
      <c r="AD515" s="16">
        <v>1</v>
      </c>
    </row>
    <row r="516" spans="20:30" x14ac:dyDescent="0.4">
      <c r="T516" s="16">
        <v>0.51400000000000001</v>
      </c>
      <c r="U516" s="16">
        <v>905.24690715412771</v>
      </c>
      <c r="V516" s="16">
        <v>0.36979040324923518</v>
      </c>
      <c r="W516" s="16">
        <v>1462.2842742565913</v>
      </c>
      <c r="X516" s="16">
        <v>0.59733834732703894</v>
      </c>
      <c r="Z516" s="16">
        <v>0.51400000000000001</v>
      </c>
      <c r="AA516" s="35">
        <v>0.24074393856683735</v>
      </c>
      <c r="AB516" s="23">
        <v>0.86717487461425036</v>
      </c>
      <c r="AC516" s="16">
        <v>1.142137572108916</v>
      </c>
      <c r="AD516" s="16">
        <v>1</v>
      </c>
    </row>
    <row r="517" spans="20:30" x14ac:dyDescent="0.4">
      <c r="T517" s="16">
        <v>0.51500000000000001</v>
      </c>
      <c r="U517" s="16">
        <v>905.35516295433786</v>
      </c>
      <c r="V517" s="16">
        <v>0.36983462538984391</v>
      </c>
      <c r="W517" s="16">
        <v>1463.0012742565912</v>
      </c>
      <c r="X517" s="16">
        <v>0.59763123948390162</v>
      </c>
      <c r="Z517" s="16">
        <v>0.51500000000000001</v>
      </c>
      <c r="AA517" s="35">
        <v>0.22807320495805308</v>
      </c>
      <c r="AB517" s="23">
        <v>0.87416567068718298</v>
      </c>
      <c r="AC517" s="16">
        <v>1.1324463359763024</v>
      </c>
      <c r="AD517" s="16">
        <v>1</v>
      </c>
    </row>
    <row r="518" spans="20:30" x14ac:dyDescent="0.4">
      <c r="T518" s="16">
        <v>0.51600000000000001</v>
      </c>
      <c r="U518" s="16">
        <v>905.463418754548</v>
      </c>
      <c r="V518" s="16">
        <v>0.36987884753045264</v>
      </c>
      <c r="W518" s="16">
        <v>1463.7182742565913</v>
      </c>
      <c r="X518" s="16">
        <v>0.59792413164076441</v>
      </c>
      <c r="Z518" s="16">
        <v>0.51600000000000001</v>
      </c>
      <c r="AA518" s="35">
        <v>0.21540247134926882</v>
      </c>
      <c r="AB518" s="23">
        <v>0.88115646676011827</v>
      </c>
      <c r="AC518" s="16">
        <v>1.1230681140118286</v>
      </c>
      <c r="AD518" s="16">
        <v>1</v>
      </c>
    </row>
    <row r="519" spans="20:30" x14ac:dyDescent="0.4">
      <c r="T519" s="16">
        <v>0.51700000000000002</v>
      </c>
      <c r="U519" s="16">
        <v>905.57167455475815</v>
      </c>
      <c r="V519" s="16">
        <v>0.36992306967106131</v>
      </c>
      <c r="W519" s="16">
        <v>1464.4352742565914</v>
      </c>
      <c r="X519" s="16">
        <v>0.5982170237976272</v>
      </c>
      <c r="Z519" s="16">
        <v>0.51700000000000002</v>
      </c>
      <c r="AA519" s="35">
        <v>0.20273173774050049</v>
      </c>
      <c r="AB519" s="23">
        <v>0.88814726283305356</v>
      </c>
      <c r="AC519" s="16">
        <v>1.1139879823084871</v>
      </c>
      <c r="AD519" s="16">
        <v>1</v>
      </c>
    </row>
    <row r="520" spans="20:30" x14ac:dyDescent="0.4">
      <c r="T520" s="16">
        <v>0.51800000000000002</v>
      </c>
      <c r="U520" s="16">
        <v>905.67993035496829</v>
      </c>
      <c r="V520" s="16">
        <v>0.36996729181167004</v>
      </c>
      <c r="W520" s="16">
        <v>1465.1522742565912</v>
      </c>
      <c r="X520" s="16">
        <v>0.59850991595448988</v>
      </c>
      <c r="Z520" s="16">
        <v>0.51800000000000002</v>
      </c>
      <c r="AA520" s="35">
        <v>0.19006100413171623</v>
      </c>
      <c r="AB520" s="23">
        <v>0.8951380589059863</v>
      </c>
      <c r="AC520" s="16">
        <v>1.1051919508411445</v>
      </c>
      <c r="AD520" s="16">
        <v>1</v>
      </c>
    </row>
    <row r="521" spans="20:30" x14ac:dyDescent="0.4">
      <c r="T521" s="16">
        <v>0.51900000000000002</v>
      </c>
      <c r="U521" s="16">
        <v>905.78818615517844</v>
      </c>
      <c r="V521" s="16">
        <v>0.37001151395227877</v>
      </c>
      <c r="W521" s="16">
        <v>1465.8692742565913</v>
      </c>
      <c r="X521" s="16">
        <v>0.59880280811135267</v>
      </c>
      <c r="Z521" s="16">
        <v>0.51900000000000002</v>
      </c>
      <c r="AA521" s="35">
        <v>0.17739027052293196</v>
      </c>
      <c r="AB521" s="23">
        <v>0.90212885497892159</v>
      </c>
      <c r="AC521" s="16">
        <v>1.0966668915433371</v>
      </c>
      <c r="AD521" s="16">
        <v>1</v>
      </c>
    </row>
    <row r="522" spans="20:30" x14ac:dyDescent="0.4">
      <c r="T522" s="16">
        <v>0.52</v>
      </c>
      <c r="U522" s="16">
        <v>905.89644195538858</v>
      </c>
      <c r="V522" s="16">
        <v>0.3700557360928875</v>
      </c>
      <c r="W522" s="16">
        <v>1466.5862742565912</v>
      </c>
      <c r="X522" s="16">
        <v>0.59909570026821535</v>
      </c>
      <c r="Z522" s="16">
        <v>0.52</v>
      </c>
      <c r="AA522" s="35">
        <v>0.1647195369141477</v>
      </c>
      <c r="AB522" s="23">
        <v>0.90911965105185422</v>
      </c>
      <c r="AC522" s="16">
        <v>1.0884004729300276</v>
      </c>
      <c r="AD522" s="16">
        <v>1</v>
      </c>
    </row>
    <row r="523" spans="20:30" x14ac:dyDescent="0.4">
      <c r="T523" s="16">
        <v>0.52100000000000002</v>
      </c>
      <c r="U523" s="16">
        <v>906.00469775559873</v>
      </c>
      <c r="V523" s="16">
        <v>0.37009995823349623</v>
      </c>
      <c r="W523" s="16">
        <v>1467.3032742565913</v>
      </c>
      <c r="X523" s="16">
        <v>0.59938859242507814</v>
      </c>
      <c r="Z523" s="16">
        <v>0.52100000000000002</v>
      </c>
      <c r="AA523" s="35">
        <v>0.15204880330536344</v>
      </c>
      <c r="AB523" s="23">
        <v>0.91611044712478951</v>
      </c>
      <c r="AC523" s="16">
        <v>1.0803811005820165</v>
      </c>
      <c r="AD523" s="16">
        <v>1</v>
      </c>
    </row>
    <row r="524" spans="20:30" x14ac:dyDescent="0.4">
      <c r="T524" s="16">
        <v>0.52200000000000002</v>
      </c>
      <c r="U524" s="16">
        <v>906.11295355580887</v>
      </c>
      <c r="V524" s="16">
        <v>0.37014418037410496</v>
      </c>
      <c r="W524" s="16">
        <v>1468.0202742565912</v>
      </c>
      <c r="X524" s="16">
        <v>0.59968148458194082</v>
      </c>
      <c r="Z524" s="16">
        <v>0.52200000000000002</v>
      </c>
      <c r="AA524" s="35">
        <v>0.13937806969657918</v>
      </c>
      <c r="AB524" s="23">
        <v>0.92310124319772224</v>
      </c>
      <c r="AC524" s="16">
        <v>1.0725978628876838</v>
      </c>
      <c r="AD524" s="16">
        <v>1</v>
      </c>
    </row>
    <row r="525" spans="20:30" x14ac:dyDescent="0.4">
      <c r="T525" s="16">
        <v>0.52300000000000002</v>
      </c>
      <c r="U525" s="16">
        <v>906.22120935601902</v>
      </c>
      <c r="V525" s="16">
        <v>0.37018840251471363</v>
      </c>
      <c r="W525" s="16">
        <v>1468.7372742565913</v>
      </c>
      <c r="X525" s="16">
        <v>0.59997437673880361</v>
      </c>
      <c r="Z525" s="16">
        <v>0.52300000000000002</v>
      </c>
      <c r="AA525" s="35">
        <v>0.12670733608781082</v>
      </c>
      <c r="AB525" s="23">
        <v>0.93009203927065753</v>
      </c>
      <c r="AC525" s="16">
        <v>1.0650404815082468</v>
      </c>
      <c r="AD525" s="16">
        <v>1</v>
      </c>
    </row>
    <row r="526" spans="20:30" x14ac:dyDescent="0.4">
      <c r="T526" s="16">
        <v>0.52400000000000002</v>
      </c>
      <c r="U526" s="16">
        <v>906.32946515622916</v>
      </c>
      <c r="V526" s="16">
        <v>0.37023262465532236</v>
      </c>
      <c r="W526" s="16">
        <v>1469.4542742565911</v>
      </c>
      <c r="X526" s="16">
        <v>0.60026726889566628</v>
      </c>
      <c r="Z526" s="16">
        <v>0.52400000000000002</v>
      </c>
      <c r="AA526" s="35">
        <v>0.11403660247902654</v>
      </c>
      <c r="AB526" s="23">
        <v>0.93708283534359016</v>
      </c>
      <c r="AC526" s="16">
        <v>1.0576992660934468</v>
      </c>
      <c r="AD526" s="16">
        <v>1</v>
      </c>
    </row>
    <row r="527" spans="20:30" x14ac:dyDescent="0.4">
      <c r="T527" s="16">
        <v>0.52500000000000002</v>
      </c>
      <c r="U527" s="16">
        <v>906.43772095643931</v>
      </c>
      <c r="V527" s="16">
        <v>0.37027684679593109</v>
      </c>
      <c r="W527" s="16">
        <v>1470.1712742565912</v>
      </c>
      <c r="X527" s="16">
        <v>0.60056016105252907</v>
      </c>
      <c r="Z527" s="16">
        <v>0.52500000000000002</v>
      </c>
      <c r="AA527" s="35">
        <v>0.10136586887024228</v>
      </c>
      <c r="AB527" s="23">
        <v>0.94407363141652545</v>
      </c>
      <c r="AC527" s="16">
        <v>1.0505650728285174</v>
      </c>
      <c r="AD527" s="16">
        <v>1</v>
      </c>
    </row>
    <row r="528" spans="20:30" x14ac:dyDescent="0.4">
      <c r="T528" s="16">
        <v>0.52600000000000002</v>
      </c>
      <c r="U528" s="16">
        <v>906.54597675664945</v>
      </c>
      <c r="V528" s="16">
        <v>0.37032106893653982</v>
      </c>
      <c r="W528" s="16">
        <v>1470.8882742565911</v>
      </c>
      <c r="X528" s="16">
        <v>0.60085305320939175</v>
      </c>
      <c r="Z528" s="16">
        <v>0.52600000000000002</v>
      </c>
      <c r="AA528" s="35">
        <v>8.869513526145803E-2</v>
      </c>
      <c r="AB528" s="23">
        <v>0.95106442748945819</v>
      </c>
      <c r="AC528" s="16">
        <v>1.0436292664390894</v>
      </c>
      <c r="AD528" s="16">
        <v>1</v>
      </c>
    </row>
    <row r="529" spans="20:30" x14ac:dyDescent="0.4">
      <c r="T529" s="16">
        <v>0.52700000000000002</v>
      </c>
      <c r="U529" s="16">
        <v>906.6542325568596</v>
      </c>
      <c r="V529" s="16">
        <v>0.37036529107714855</v>
      </c>
      <c r="W529" s="16">
        <v>1471.6052742565912</v>
      </c>
      <c r="X529" s="16">
        <v>0.60114594536625454</v>
      </c>
      <c r="Z529" s="16">
        <v>0.52700000000000002</v>
      </c>
      <c r="AA529" s="35">
        <v>7.6024401652673768E-2</v>
      </c>
      <c r="AB529" s="23">
        <v>0.95805522356239348</v>
      </c>
      <c r="AC529" s="16">
        <v>1.0368836853224521</v>
      </c>
      <c r="AD529" s="16">
        <v>1</v>
      </c>
    </row>
    <row r="530" spans="20:30" x14ac:dyDescent="0.4">
      <c r="T530" s="16">
        <v>0.52800000000000002</v>
      </c>
      <c r="U530" s="16">
        <v>906.76248835706974</v>
      </c>
      <c r="V530" s="16">
        <v>0.37040951321775722</v>
      </c>
      <c r="W530" s="16">
        <v>1472.3222742565911</v>
      </c>
      <c r="X530" s="16">
        <v>0.60143883752311722</v>
      </c>
      <c r="Z530" s="16">
        <v>0.52800000000000002</v>
      </c>
      <c r="AA530" s="35">
        <v>6.3353668043905409E-2</v>
      </c>
      <c r="AB530" s="23">
        <v>0.9650460196353261</v>
      </c>
      <c r="AC530" s="16">
        <v>1.0303206095089505</v>
      </c>
      <c r="AD530" s="16">
        <v>1</v>
      </c>
    </row>
    <row r="531" spans="20:30" x14ac:dyDescent="0.4">
      <c r="T531" s="16">
        <v>0.52900000000000003</v>
      </c>
      <c r="U531" s="16">
        <v>906.87074415727989</v>
      </c>
      <c r="V531" s="16">
        <v>0.37045373535836595</v>
      </c>
      <c r="W531" s="16">
        <v>1473.0392742565914</v>
      </c>
      <c r="X531" s="16">
        <v>0.60173172967998012</v>
      </c>
      <c r="Z531" s="16">
        <v>0.52900000000000003</v>
      </c>
      <c r="AA531" s="35">
        <v>5.0682934435121139E-2</v>
      </c>
      <c r="AB531" s="23">
        <v>0.97203681570826406</v>
      </c>
      <c r="AC531" s="16">
        <v>1.0239327311890956</v>
      </c>
      <c r="AD531" s="16">
        <v>1</v>
      </c>
    </row>
    <row r="532" spans="20:30" x14ac:dyDescent="0.4">
      <c r="T532" s="16">
        <v>0.53</v>
      </c>
      <c r="U532" s="16">
        <v>906.97899995749003</v>
      </c>
      <c r="V532" s="16">
        <v>0.37049795749897468</v>
      </c>
      <c r="W532" s="16">
        <v>1473.756274256591</v>
      </c>
      <c r="X532" s="16">
        <v>0.6020246218368428</v>
      </c>
      <c r="Z532" s="16">
        <v>0.53</v>
      </c>
      <c r="AA532" s="35">
        <v>3.8012200826336884E-2</v>
      </c>
      <c r="AB532" s="23">
        <v>0.97902761178119668</v>
      </c>
      <c r="AC532" s="16">
        <v>1.0177131275699864</v>
      </c>
      <c r="AD532" s="16">
        <v>1</v>
      </c>
    </row>
    <row r="533" spans="20:30" x14ac:dyDescent="0.4">
      <c r="T533" s="16">
        <v>0.53100000000000003</v>
      </c>
      <c r="U533" s="16">
        <v>907.08725575770018</v>
      </c>
      <c r="V533" s="16">
        <v>0.37054217963958341</v>
      </c>
      <c r="W533" s="16">
        <v>1474.4732742565914</v>
      </c>
      <c r="X533" s="16">
        <v>0.60231751399370559</v>
      </c>
      <c r="Z533" s="16">
        <v>0.53100000000000003</v>
      </c>
      <c r="AA533" s="35">
        <v>2.5341467217552618E-2</v>
      </c>
      <c r="AB533" s="23">
        <v>0.98601840785413208</v>
      </c>
      <c r="AC533" s="16">
        <v>1.0116552358488615</v>
      </c>
      <c r="AD533" s="16">
        <v>1</v>
      </c>
    </row>
    <row r="534" spans="20:30" x14ac:dyDescent="0.4">
      <c r="T534" s="16">
        <v>0.53200000000000003</v>
      </c>
      <c r="U534" s="16">
        <v>907.19551155791032</v>
      </c>
      <c r="V534" s="16">
        <v>0.37058640178019214</v>
      </c>
      <c r="W534" s="16">
        <v>1475.1902742565912</v>
      </c>
      <c r="X534" s="16">
        <v>0.60261040615056827</v>
      </c>
      <c r="Z534" s="16">
        <v>0.53200000000000003</v>
      </c>
      <c r="AA534" s="35">
        <v>1.2670733608768357E-2</v>
      </c>
      <c r="AB534" s="23">
        <v>0.99300920392706471</v>
      </c>
      <c r="AC534" s="16">
        <v>1.0057528301137002</v>
      </c>
      <c r="AD534" s="16">
        <v>1</v>
      </c>
    </row>
    <row r="535" spans="20:30" x14ac:dyDescent="0.4">
      <c r="T535" s="16">
        <v>0.53300000000000003</v>
      </c>
      <c r="U535" s="16">
        <v>907.30376735812047</v>
      </c>
      <c r="V535" s="16">
        <v>0.37063062392080082</v>
      </c>
      <c r="W535" s="16">
        <v>1475.9072742565913</v>
      </c>
      <c r="X535" s="16">
        <v>0.60290329830743106</v>
      </c>
      <c r="Z535" s="16">
        <v>0.53300000000000003</v>
      </c>
      <c r="AA535" s="35">
        <v>0</v>
      </c>
      <c r="AB535" s="23">
        <v>1</v>
      </c>
      <c r="AC535" s="16">
        <v>1</v>
      </c>
      <c r="AD535" s="16">
        <v>1</v>
      </c>
    </row>
  </sheetData>
  <phoneticPr fontId="1" type="noConversion"/>
  <pageMargins left="0.7" right="0.7" top="0.75" bottom="0.75" header="0.3" footer="0.3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CDB0-F111-47A5-8C48-A37BB2945D30}">
  <dimension ref="A1:L25"/>
  <sheetViews>
    <sheetView zoomScale="145" zoomScaleNormal="145" workbookViewId="0">
      <selection activeCell="J12" sqref="J12"/>
    </sheetView>
  </sheetViews>
  <sheetFormatPr defaultRowHeight="13.9" x14ac:dyDescent="0.4"/>
  <cols>
    <col min="1" max="1" width="4.53125" bestFit="1" customWidth="1"/>
    <col min="2" max="4" width="5.73046875" bestFit="1" customWidth="1"/>
    <col min="5" max="5" width="4.53125" bestFit="1" customWidth="1"/>
    <col min="6" max="8" width="5.73046875" bestFit="1" customWidth="1"/>
    <col min="9" max="9" width="4.19921875" bestFit="1" customWidth="1"/>
    <col min="10" max="12" width="5.73046875" bestFit="1" customWidth="1"/>
  </cols>
  <sheetData>
    <row r="1" spans="1:12" ht="15" x14ac:dyDescent="0.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x14ac:dyDescent="0.4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 x14ac:dyDescent="0.4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2" x14ac:dyDescent="0.4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4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 x14ac:dyDescent="0.4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  <row r="7" spans="1:12" x14ac:dyDescent="0.4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 x14ac:dyDescent="0.4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 x14ac:dyDescent="0.4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 x14ac:dyDescent="0.4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2" x14ac:dyDescent="0.4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1:12" x14ac:dyDescent="0.4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2" x14ac:dyDescent="0.4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</row>
    <row r="14" spans="1:12" x14ac:dyDescent="0.4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</row>
    <row r="15" spans="1:12" x14ac:dyDescent="0.4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2" x14ac:dyDescent="0.4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</row>
    <row r="17" spans="1:12" x14ac:dyDescent="0.4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</row>
    <row r="18" spans="1:12" x14ac:dyDescent="0.4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</row>
    <row r="19" spans="1:12" x14ac:dyDescent="0.4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</row>
    <row r="20" spans="1:12" x14ac:dyDescent="0.4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</row>
    <row r="21" spans="1:12" x14ac:dyDescent="0.4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</row>
    <row r="22" spans="1:12" x14ac:dyDescent="0.4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3" spans="1:12" x14ac:dyDescent="0.4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</row>
    <row r="24" spans="1:12" x14ac:dyDescent="0.4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</row>
    <row r="25" spans="1:12" x14ac:dyDescent="0.4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3C30-1A08-4983-BF7D-05370CE7A384}">
  <dimension ref="A1:P1068"/>
  <sheetViews>
    <sheetView topLeftCell="A444" zoomScaleNormal="100" workbookViewId="0">
      <selection activeCell="O475" sqref="O475"/>
    </sheetView>
  </sheetViews>
  <sheetFormatPr defaultColWidth="9.06640625" defaultRowHeight="13.9" x14ac:dyDescent="0.4"/>
  <cols>
    <col min="1" max="1" width="9.06640625" style="3"/>
    <col min="2" max="2" width="12.9296875" style="3" bestFit="1" customWidth="1"/>
    <col min="3" max="3" width="9.06640625" style="4"/>
    <col min="4" max="4" width="6.19921875" style="5" bestFit="1" customWidth="1"/>
    <col min="5" max="16384" width="9.06640625" style="3"/>
  </cols>
  <sheetData>
    <row r="1" spans="1:12" x14ac:dyDescent="0.4">
      <c r="A1" s="3" t="s">
        <v>5</v>
      </c>
      <c r="C1" s="3"/>
      <c r="F1" s="3" t="s">
        <v>32</v>
      </c>
      <c r="G1" s="3" t="s">
        <v>33</v>
      </c>
      <c r="H1" s="3" t="s">
        <v>34</v>
      </c>
      <c r="L1" s="3" t="s">
        <v>35</v>
      </c>
    </row>
    <row r="2" spans="1:12" x14ac:dyDescent="0.4">
      <c r="A2" s="3">
        <v>-0.53300000000000003</v>
      </c>
      <c r="B2" s="3" cm="1">
        <f t="array" ref="B2:B1068">_xlfn.NORM.DIST(A2:A1068,0,0.05,TRUE)</f>
        <v>7.8298721948656421E-27</v>
      </c>
      <c r="C2" s="4">
        <f>B2-B1</f>
        <v>7.8298721948656421E-27</v>
      </c>
      <c r="D2" s="5">
        <f t="shared" ref="D2:D65" si="0">C2</f>
        <v>7.8298721948656421E-27</v>
      </c>
      <c r="F2" s="3">
        <v>0</v>
      </c>
      <c r="G2" s="3">
        <v>0</v>
      </c>
      <c r="L2" s="3">
        <f>0.003</f>
        <v>3.0000000000000001E-3</v>
      </c>
    </row>
    <row r="3" spans="1:12" x14ac:dyDescent="0.4">
      <c r="A3" s="3">
        <v>-0.53200000000000003</v>
      </c>
      <c r="B3" s="3">
        <v>9.7064671513410999E-27</v>
      </c>
      <c r="C3" s="4">
        <f t="shared" ref="C3:C66" si="1">B3-B2</f>
        <v>1.8765949564754577E-27</v>
      </c>
      <c r="D3" s="5">
        <f t="shared" si="0"/>
        <v>1.8765949564754577E-27</v>
      </c>
      <c r="F3" s="3">
        <v>1E-3</v>
      </c>
      <c r="G3" s="3">
        <v>0</v>
      </c>
      <c r="L3" s="3">
        <f>L2</f>
        <v>3.0000000000000001E-3</v>
      </c>
    </row>
    <row r="4" spans="1:12" x14ac:dyDescent="0.4">
      <c r="A4" s="3">
        <v>-0.53100000000000003</v>
      </c>
      <c r="B4" s="3">
        <v>1.2028056124336195E-26</v>
      </c>
      <c r="C4" s="4">
        <f t="shared" si="1"/>
        <v>2.3215889729950955E-27</v>
      </c>
      <c r="D4" s="5">
        <f t="shared" si="0"/>
        <v>2.3215889729950955E-27</v>
      </c>
      <c r="F4" s="3">
        <v>2E-3</v>
      </c>
      <c r="G4" s="3">
        <v>0</v>
      </c>
      <c r="L4" s="3">
        <f t="shared" ref="L4:L67" si="2">L3</f>
        <v>3.0000000000000001E-3</v>
      </c>
    </row>
    <row r="5" spans="1:12" x14ac:dyDescent="0.4">
      <c r="A5" s="3">
        <v>-0.53</v>
      </c>
      <c r="B5" s="3">
        <v>1.4899011272964667E-26</v>
      </c>
      <c r="C5" s="4">
        <f t="shared" si="1"/>
        <v>2.8709551486284713E-27</v>
      </c>
      <c r="D5" s="5">
        <f t="shared" si="0"/>
        <v>2.8709551486284713E-27</v>
      </c>
      <c r="F5" s="3">
        <v>3.0000000000000001E-3</v>
      </c>
      <c r="G5" s="3">
        <v>0</v>
      </c>
      <c r="L5" s="3">
        <f t="shared" si="2"/>
        <v>3.0000000000000001E-3</v>
      </c>
    </row>
    <row r="6" spans="1:12" x14ac:dyDescent="0.4">
      <c r="A6" s="3">
        <v>-0.52900000000000003</v>
      </c>
      <c r="B6" s="3">
        <v>1.8447911348214122E-26</v>
      </c>
      <c r="C6" s="4">
        <f t="shared" si="1"/>
        <v>3.5489000752494552E-27</v>
      </c>
      <c r="D6" s="5">
        <f t="shared" si="0"/>
        <v>3.5489000752494552E-27</v>
      </c>
      <c r="F6" s="3">
        <v>4.0000000000000001E-3</v>
      </c>
      <c r="G6" s="3">
        <v>0</v>
      </c>
      <c r="L6" s="3">
        <f t="shared" si="2"/>
        <v>3.0000000000000001E-3</v>
      </c>
    </row>
    <row r="7" spans="1:12" x14ac:dyDescent="0.4">
      <c r="A7" s="3">
        <v>-0.52800000000000002</v>
      </c>
      <c r="B7" s="3">
        <v>2.2833091328593484E-26</v>
      </c>
      <c r="C7" s="4">
        <f t="shared" si="1"/>
        <v>4.3851799803793618E-27</v>
      </c>
      <c r="D7" s="5">
        <f t="shared" si="0"/>
        <v>4.3851799803793618E-27</v>
      </c>
      <c r="F7" s="3">
        <v>5.0000000000000001E-3</v>
      </c>
      <c r="G7" s="3">
        <v>0</v>
      </c>
      <c r="L7" s="3">
        <f t="shared" si="2"/>
        <v>3.0000000000000001E-3</v>
      </c>
    </row>
    <row r="8" spans="1:12" x14ac:dyDescent="0.4">
      <c r="A8" s="3">
        <v>-0.52700000000000002</v>
      </c>
      <c r="B8" s="3">
        <v>2.8249449333963856E-26</v>
      </c>
      <c r="C8" s="4">
        <f t="shared" si="1"/>
        <v>5.4163580053703726E-27</v>
      </c>
      <c r="D8" s="5">
        <f t="shared" si="0"/>
        <v>5.4163580053703726E-27</v>
      </c>
      <c r="F8" s="3">
        <v>6.0000000000000001E-3</v>
      </c>
      <c r="G8" s="3">
        <v>0</v>
      </c>
      <c r="L8" s="3">
        <f t="shared" si="2"/>
        <v>3.0000000000000001E-3</v>
      </c>
    </row>
    <row r="9" spans="1:12" x14ac:dyDescent="0.4">
      <c r="A9" s="3">
        <v>-0.52600000000000002</v>
      </c>
      <c r="B9" s="3">
        <v>3.4936792188007746E-26</v>
      </c>
      <c r="C9" s="4">
        <f t="shared" si="1"/>
        <v>6.6873428540438903E-27</v>
      </c>
      <c r="D9" s="5">
        <f t="shared" si="0"/>
        <v>6.6873428540438903E-27</v>
      </c>
      <c r="F9" s="3">
        <v>7.0000000000000001E-3</v>
      </c>
      <c r="G9" s="3">
        <v>0</v>
      </c>
      <c r="L9" s="3">
        <f t="shared" si="2"/>
        <v>3.0000000000000001E-3</v>
      </c>
    </row>
    <row r="10" spans="1:12" x14ac:dyDescent="0.4">
      <c r="A10" s="3">
        <v>-0.52500000000000002</v>
      </c>
      <c r="B10" s="3">
        <v>4.3190063178092006E-26</v>
      </c>
      <c r="C10" s="4">
        <f t="shared" si="1"/>
        <v>8.2532709900842595E-27</v>
      </c>
      <c r="D10" s="5">
        <f t="shared" si="0"/>
        <v>8.2532709900842595E-27</v>
      </c>
      <c r="F10" s="3">
        <v>8.0000000000000002E-3</v>
      </c>
      <c r="G10" s="3">
        <v>0</v>
      </c>
      <c r="L10" s="3">
        <f t="shared" si="2"/>
        <v>3.0000000000000001E-3</v>
      </c>
    </row>
    <row r="11" spans="1:12" x14ac:dyDescent="0.4">
      <c r="A11" s="3">
        <v>-0.52400000000000002</v>
      </c>
      <c r="B11" s="3">
        <v>5.3371871301809269E-26</v>
      </c>
      <c r="C11" s="4">
        <f t="shared" si="1"/>
        <v>1.0181808123717263E-26</v>
      </c>
      <c r="D11" s="5">
        <f t="shared" si="0"/>
        <v>1.0181808123717263E-26</v>
      </c>
      <c r="F11" s="3">
        <v>9.0000000000000011E-3</v>
      </c>
      <c r="G11" s="3">
        <v>0</v>
      </c>
      <c r="L11" s="3">
        <f t="shared" si="2"/>
        <v>3.0000000000000001E-3</v>
      </c>
    </row>
    <row r="12" spans="1:12" x14ac:dyDescent="0.4">
      <c r="A12" s="3">
        <v>-0.52300000000000002</v>
      </c>
      <c r="B12" s="3">
        <v>6.5927833510868721E-26</v>
      </c>
      <c r="C12" s="4">
        <f t="shared" si="1"/>
        <v>1.2555962209059452E-26</v>
      </c>
      <c r="D12" s="5">
        <f t="shared" si="0"/>
        <v>1.2555962209059452E-26</v>
      </c>
      <c r="F12" s="3">
        <v>0.01</v>
      </c>
      <c r="G12" s="3">
        <v>0</v>
      </c>
      <c r="L12" s="3">
        <f t="shared" si="2"/>
        <v>3.0000000000000001E-3</v>
      </c>
    </row>
    <row r="13" spans="1:12" x14ac:dyDescent="0.4">
      <c r="A13" s="3">
        <v>-0.52200000000000002</v>
      </c>
      <c r="B13" s="3">
        <v>8.1405353703029195E-26</v>
      </c>
      <c r="C13" s="4">
        <f t="shared" si="1"/>
        <v>1.5477520192160474E-26</v>
      </c>
      <c r="D13" s="5">
        <f t="shared" si="0"/>
        <v>1.5477520192160474E-26</v>
      </c>
      <c r="F13" s="3">
        <v>1.0999999999999999E-2</v>
      </c>
      <c r="G13" s="3">
        <v>0</v>
      </c>
      <c r="L13" s="3">
        <f t="shared" si="2"/>
        <v>3.0000000000000001E-3</v>
      </c>
    </row>
    <row r="14" spans="1:12" x14ac:dyDescent="0.4">
      <c r="A14" s="3">
        <v>-0.52100000000000002</v>
      </c>
      <c r="B14" s="3">
        <v>1.0047659875830575E-25</v>
      </c>
      <c r="C14" s="4">
        <f t="shared" si="1"/>
        <v>1.9071245055276555E-26</v>
      </c>
      <c r="D14" s="5">
        <f t="shared" si="0"/>
        <v>1.9071245055276555E-26</v>
      </c>
      <c r="F14" s="3">
        <v>1.2E-2</v>
      </c>
      <c r="G14" s="3">
        <v>0</v>
      </c>
      <c r="L14" s="3">
        <f t="shared" si="2"/>
        <v>3.0000000000000001E-3</v>
      </c>
    </row>
    <row r="15" spans="1:12" x14ac:dyDescent="0.4">
      <c r="A15" s="3">
        <v>-0.52</v>
      </c>
      <c r="B15" s="3">
        <v>1.2396659795840022E-25</v>
      </c>
      <c r="C15" s="4">
        <f t="shared" si="1"/>
        <v>2.3489999200094471E-26</v>
      </c>
      <c r="D15" s="5">
        <f t="shared" si="0"/>
        <v>2.3489999200094471E-26</v>
      </c>
      <c r="F15" s="3">
        <v>1.3000000000000001E-2</v>
      </c>
      <c r="G15" s="3">
        <v>0</v>
      </c>
      <c r="L15" s="3">
        <f t="shared" si="2"/>
        <v>3.0000000000000001E-3</v>
      </c>
    </row>
    <row r="16" spans="1:12" x14ac:dyDescent="0.4">
      <c r="A16" s="3">
        <v>-0.51900000000000002</v>
      </c>
      <c r="B16" s="3">
        <v>1.5288759395375731E-25</v>
      </c>
      <c r="C16" s="4">
        <f t="shared" si="1"/>
        <v>2.8920995995357092E-26</v>
      </c>
      <c r="D16" s="5">
        <f t="shared" si="0"/>
        <v>2.8920995995357092E-26</v>
      </c>
      <c r="F16" s="3">
        <v>1.4E-2</v>
      </c>
      <c r="G16" s="3">
        <v>0</v>
      </c>
      <c r="L16" s="3">
        <f t="shared" si="2"/>
        <v>3.0000000000000001E-3</v>
      </c>
    </row>
    <row r="17" spans="1:12" x14ac:dyDescent="0.4">
      <c r="A17" s="3">
        <v>-0.51800000000000002</v>
      </c>
      <c r="B17" s="3">
        <v>1.8848101865617061E-25</v>
      </c>
      <c r="C17" s="4">
        <f t="shared" si="1"/>
        <v>3.5593424702413303E-26</v>
      </c>
      <c r="D17" s="5">
        <f t="shared" si="0"/>
        <v>3.5593424702413303E-26</v>
      </c>
      <c r="F17" s="3">
        <v>1.4999999999999999E-2</v>
      </c>
      <c r="G17" s="3">
        <v>0</v>
      </c>
      <c r="L17" s="3">
        <f t="shared" si="2"/>
        <v>3.0000000000000001E-3</v>
      </c>
    </row>
    <row r="18" spans="1:12" x14ac:dyDescent="0.4">
      <c r="A18" s="3">
        <v>-0.51700000000000002</v>
      </c>
      <c r="B18" s="3">
        <v>2.3226876523597458E-25</v>
      </c>
      <c r="C18" s="4">
        <f t="shared" si="1"/>
        <v>4.3787746579803967E-26</v>
      </c>
      <c r="D18" s="5">
        <f t="shared" si="0"/>
        <v>4.3787746579803967E-26</v>
      </c>
      <c r="F18" s="3">
        <v>1.6E-2</v>
      </c>
      <c r="G18" s="3">
        <v>0</v>
      </c>
      <c r="L18" s="3">
        <f t="shared" si="2"/>
        <v>3.0000000000000001E-3</v>
      </c>
    </row>
    <row r="19" spans="1:12" x14ac:dyDescent="0.4">
      <c r="A19" s="3">
        <v>-0.51600000000000001</v>
      </c>
      <c r="B19" s="3">
        <v>2.8611578891322336E-25</v>
      </c>
      <c r="C19" s="4">
        <f t="shared" si="1"/>
        <v>5.3847023677248782E-26</v>
      </c>
      <c r="D19" s="5">
        <f t="shared" si="0"/>
        <v>5.3847023677248782E-26</v>
      </c>
      <c r="F19" s="3">
        <v>1.7000000000000001E-2</v>
      </c>
      <c r="G19" s="3">
        <v>0</v>
      </c>
      <c r="L19" s="3">
        <f t="shared" si="2"/>
        <v>3.0000000000000001E-3</v>
      </c>
    </row>
    <row r="20" spans="1:12" x14ac:dyDescent="0.4">
      <c r="A20" s="3">
        <v>-0.51500000000000001</v>
      </c>
      <c r="B20" s="3">
        <v>3.5230650789264583E-25</v>
      </c>
      <c r="C20" s="4">
        <f t="shared" si="1"/>
        <v>6.619071897942247E-26</v>
      </c>
      <c r="D20" s="5">
        <f t="shared" si="0"/>
        <v>6.619071897942247E-26</v>
      </c>
      <c r="F20" s="3">
        <v>1.8000000000000002E-2</v>
      </c>
      <c r="G20" s="3">
        <v>0</v>
      </c>
      <c r="L20" s="3">
        <f t="shared" si="2"/>
        <v>3.0000000000000001E-3</v>
      </c>
    </row>
    <row r="21" spans="1:12" x14ac:dyDescent="0.4">
      <c r="A21" s="3">
        <v>-0.51400000000000001</v>
      </c>
      <c r="B21" s="3">
        <v>4.3363800783716693E-25</v>
      </c>
      <c r="C21" s="4">
        <f t="shared" si="1"/>
        <v>8.1331499944521092E-26</v>
      </c>
      <c r="D21" s="5">
        <f t="shared" si="0"/>
        <v>8.1331499944521092E-26</v>
      </c>
      <c r="F21" s="3">
        <v>1.9E-2</v>
      </c>
      <c r="G21" s="3">
        <v>0</v>
      </c>
      <c r="L21" s="3">
        <f t="shared" si="2"/>
        <v>3.0000000000000001E-3</v>
      </c>
    </row>
    <row r="22" spans="1:12" x14ac:dyDescent="0.4">
      <c r="A22" s="3">
        <v>-0.51300000000000001</v>
      </c>
      <c r="B22" s="3">
        <v>5.3353369830727611E-25</v>
      </c>
      <c r="C22" s="4">
        <f t="shared" si="1"/>
        <v>9.9895690470109179E-26</v>
      </c>
      <c r="D22" s="5">
        <f t="shared" si="0"/>
        <v>9.9895690470109179E-26</v>
      </c>
      <c r="F22" s="3">
        <v>0.02</v>
      </c>
      <c r="G22" s="3">
        <v>0</v>
      </c>
      <c r="L22" s="3">
        <f t="shared" si="2"/>
        <v>3.0000000000000001E-3</v>
      </c>
    </row>
    <row r="23" spans="1:12" x14ac:dyDescent="0.4">
      <c r="A23" s="3">
        <v>-0.51200000000000001</v>
      </c>
      <c r="B23" s="3">
        <v>6.5618185126965186E-25</v>
      </c>
      <c r="C23" s="4">
        <f t="shared" si="1"/>
        <v>1.2264815296237575E-25</v>
      </c>
      <c r="D23" s="5">
        <f t="shared" si="0"/>
        <v>1.2264815296237575E-25</v>
      </c>
      <c r="F23" s="3">
        <v>2.1000000000000001E-2</v>
      </c>
      <c r="G23" s="3">
        <v>0</v>
      </c>
      <c r="L23" s="3">
        <f t="shared" si="2"/>
        <v>3.0000000000000001E-3</v>
      </c>
    </row>
    <row r="24" spans="1:12" x14ac:dyDescent="0.4">
      <c r="A24" s="3">
        <v>-0.51100000000000001</v>
      </c>
      <c r="B24" s="3">
        <v>8.0670439863743533E-25</v>
      </c>
      <c r="C24" s="4">
        <f t="shared" si="1"/>
        <v>1.5052254736778348E-25</v>
      </c>
      <c r="D24" s="5">
        <f t="shared" si="0"/>
        <v>1.5052254736778348E-25</v>
      </c>
      <c r="F24" s="3">
        <v>2.1999999999999999E-2</v>
      </c>
      <c r="G24" s="3">
        <v>0</v>
      </c>
      <c r="L24" s="3">
        <f t="shared" si="2"/>
        <v>3.0000000000000001E-3</v>
      </c>
    </row>
    <row r="25" spans="1:12" x14ac:dyDescent="0.4">
      <c r="A25" s="3">
        <v>-0.51</v>
      </c>
      <c r="B25" s="3">
        <v>9.9136251225599711E-25</v>
      </c>
      <c r="C25" s="4">
        <f t="shared" si="1"/>
        <v>1.8465811361856177E-25</v>
      </c>
      <c r="D25" s="5">
        <f t="shared" si="0"/>
        <v>1.8465811361856177E-25</v>
      </c>
      <c r="F25" s="3">
        <v>2.3E-2</v>
      </c>
      <c r="G25" s="3">
        <v>0</v>
      </c>
      <c r="L25" s="3">
        <f t="shared" si="2"/>
        <v>3.0000000000000001E-3</v>
      </c>
    </row>
    <row r="26" spans="1:12" x14ac:dyDescent="0.4">
      <c r="A26" s="3">
        <v>-0.50900000000000001</v>
      </c>
      <c r="B26" s="3">
        <v>1.217806877267699E-24</v>
      </c>
      <c r="C26" s="4">
        <f t="shared" si="1"/>
        <v>2.2644436501170193E-25</v>
      </c>
      <c r="D26" s="5">
        <f t="shared" si="0"/>
        <v>2.2644436501170193E-25</v>
      </c>
      <c r="F26" s="3">
        <v>2.4E-2</v>
      </c>
      <c r="G26" s="3">
        <v>0</v>
      </c>
      <c r="L26" s="3">
        <f t="shared" si="2"/>
        <v>3.0000000000000001E-3</v>
      </c>
    </row>
    <row r="27" spans="1:12" x14ac:dyDescent="0.4">
      <c r="A27" s="3">
        <v>-0.50800000000000001</v>
      </c>
      <c r="B27" s="3">
        <v>1.4953822483389044E-24</v>
      </c>
      <c r="C27" s="4">
        <f t="shared" si="1"/>
        <v>2.775753710712054E-25</v>
      </c>
      <c r="D27" s="5">
        <f t="shared" si="0"/>
        <v>2.775753710712054E-25</v>
      </c>
      <c r="F27" s="3">
        <v>2.5000000000000001E-2</v>
      </c>
      <c r="G27" s="3">
        <v>0</v>
      </c>
      <c r="L27" s="3">
        <f t="shared" si="2"/>
        <v>3.0000000000000001E-3</v>
      </c>
    </row>
    <row r="28" spans="1:12" x14ac:dyDescent="0.4">
      <c r="A28" s="3">
        <v>-0.50700000000000001</v>
      </c>
      <c r="B28" s="3">
        <v>1.8354979079822535E-24</v>
      </c>
      <c r="C28" s="4">
        <f t="shared" si="1"/>
        <v>3.4011565964334905E-25</v>
      </c>
      <c r="D28" s="5">
        <f t="shared" si="0"/>
        <v>3.4011565964334905E-25</v>
      </c>
      <c r="F28" s="3">
        <v>2.6000000000000002E-2</v>
      </c>
      <c r="G28" s="3">
        <v>0</v>
      </c>
      <c r="L28" s="3">
        <f t="shared" si="2"/>
        <v>3.0000000000000001E-3</v>
      </c>
    </row>
    <row r="29" spans="1:12" x14ac:dyDescent="0.4">
      <c r="A29" s="3">
        <v>-0.50600000000000001</v>
      </c>
      <c r="B29" s="3">
        <v>2.2520780995720574E-24</v>
      </c>
      <c r="C29" s="4">
        <f t="shared" si="1"/>
        <v>4.1658019158980392E-25</v>
      </c>
      <c r="D29" s="5">
        <f t="shared" si="0"/>
        <v>4.1658019158980392E-25</v>
      </c>
      <c r="F29" s="3">
        <v>2.7E-2</v>
      </c>
      <c r="G29" s="3">
        <v>0</v>
      </c>
      <c r="L29" s="3">
        <f t="shared" si="2"/>
        <v>3.0000000000000001E-3</v>
      </c>
    </row>
    <row r="30" spans="1:12" x14ac:dyDescent="0.4">
      <c r="A30" s="3">
        <v>-0.505</v>
      </c>
      <c r="B30" s="3">
        <v>2.7621094717645008E-24</v>
      </c>
      <c r="C30" s="4">
        <f t="shared" si="1"/>
        <v>5.1003137219244338E-25</v>
      </c>
      <c r="D30" s="5">
        <f t="shared" si="0"/>
        <v>5.1003137219244338E-25</v>
      </c>
      <c r="F30" s="3">
        <v>2.8000000000000001E-2</v>
      </c>
      <c r="G30" s="3">
        <v>0</v>
      </c>
      <c r="L30" s="3">
        <f t="shared" si="2"/>
        <v>3.0000000000000001E-3</v>
      </c>
    </row>
    <row r="31" spans="1:12" x14ac:dyDescent="0.4">
      <c r="A31" s="3">
        <v>-0.504</v>
      </c>
      <c r="B31" s="3">
        <v>3.3863061506695389E-24</v>
      </c>
      <c r="C31" s="4">
        <f t="shared" si="1"/>
        <v>6.2419667890503807E-25</v>
      </c>
      <c r="D31" s="5">
        <f t="shared" si="0"/>
        <v>6.2419667890503807E-25</v>
      </c>
      <c r="F31" s="3">
        <v>2.9000000000000001E-2</v>
      </c>
      <c r="G31" s="3">
        <v>0</v>
      </c>
      <c r="L31" s="3">
        <f t="shared" si="2"/>
        <v>3.0000000000000001E-3</v>
      </c>
    </row>
    <row r="32" spans="1:12" x14ac:dyDescent="0.4">
      <c r="A32" s="3">
        <v>-0.503</v>
      </c>
      <c r="B32" s="3">
        <v>4.1499173772341724E-24</v>
      </c>
      <c r="C32" s="4">
        <f t="shared" si="1"/>
        <v>7.6361122656463353E-25</v>
      </c>
      <c r="D32" s="5">
        <f t="shared" si="0"/>
        <v>7.6361122656463353E-25</v>
      </c>
      <c r="F32" s="3">
        <v>0.03</v>
      </c>
      <c r="G32" s="3">
        <v>0</v>
      </c>
      <c r="L32" s="3">
        <f t="shared" si="2"/>
        <v>3.0000000000000001E-3</v>
      </c>
    </row>
    <row r="33" spans="1:12" x14ac:dyDescent="0.4">
      <c r="A33" s="3">
        <v>-0.502</v>
      </c>
      <c r="B33" s="3">
        <v>5.0837078612103966E-24</v>
      </c>
      <c r="C33" s="4">
        <f t="shared" si="1"/>
        <v>9.3379048397622425E-25</v>
      </c>
      <c r="D33" s="5">
        <f t="shared" si="0"/>
        <v>9.3379048397622425E-25</v>
      </c>
      <c r="F33" s="3">
        <v>3.1E-2</v>
      </c>
      <c r="G33" s="3">
        <v>0</v>
      </c>
      <c r="L33" s="3">
        <f t="shared" si="2"/>
        <v>3.0000000000000001E-3</v>
      </c>
    </row>
    <row r="34" spans="1:12" x14ac:dyDescent="0.4">
      <c r="A34" s="3">
        <v>-0.501</v>
      </c>
      <c r="B34" s="3">
        <v>6.2251472915398712E-24</v>
      </c>
      <c r="C34" s="4">
        <f t="shared" si="1"/>
        <v>1.1414394303294746E-24</v>
      </c>
      <c r="D34" s="5">
        <f t="shared" si="0"/>
        <v>1.1414394303294746E-24</v>
      </c>
      <c r="F34" s="3">
        <v>3.2000000000000001E-2</v>
      </c>
      <c r="G34" s="3">
        <v>0</v>
      </c>
      <c r="L34" s="3">
        <f t="shared" si="2"/>
        <v>3.0000000000000001E-3</v>
      </c>
    </row>
    <row r="35" spans="1:12" x14ac:dyDescent="0.4">
      <c r="A35" s="3">
        <v>-0.5</v>
      </c>
      <c r="B35" s="3">
        <v>7.6198530241604755E-24</v>
      </c>
      <c r="C35" s="4">
        <f t="shared" si="1"/>
        <v>1.3947057326206043E-24</v>
      </c>
      <c r="D35" s="5">
        <f t="shared" si="0"/>
        <v>1.3947057326206043E-24</v>
      </c>
      <c r="F35" s="3">
        <v>3.3000000000000002E-2</v>
      </c>
      <c r="G35" s="3">
        <v>0</v>
      </c>
      <c r="L35" s="3">
        <f t="shared" si="2"/>
        <v>3.0000000000000001E-3</v>
      </c>
    </row>
    <row r="36" spans="1:12" x14ac:dyDescent="0.4">
      <c r="A36" s="3">
        <v>-0.499</v>
      </c>
      <c r="B36" s="3">
        <v>9.3233391039085828E-24</v>
      </c>
      <c r="C36" s="4">
        <f t="shared" si="1"/>
        <v>1.7034860797481073E-24</v>
      </c>
      <c r="D36" s="5">
        <f t="shared" si="0"/>
        <v>1.7034860797481073E-24</v>
      </c>
      <c r="F36" s="3">
        <v>3.4000000000000002E-2</v>
      </c>
      <c r="G36" s="3">
        <v>0</v>
      </c>
      <c r="L36" s="3">
        <f t="shared" si="2"/>
        <v>3.0000000000000001E-3</v>
      </c>
    </row>
    <row r="37" spans="1:12" x14ac:dyDescent="0.4">
      <c r="A37" s="3">
        <v>-0.498</v>
      </c>
      <c r="B37" s="3">
        <v>1.140313578132807E-23</v>
      </c>
      <c r="C37" s="4">
        <f t="shared" si="1"/>
        <v>2.0797966774194868E-24</v>
      </c>
      <c r="D37" s="5">
        <f t="shared" si="0"/>
        <v>2.0797966774194868E-24</v>
      </c>
      <c r="F37" s="3">
        <v>3.5000000000000003E-2</v>
      </c>
      <c r="G37" s="3">
        <v>0</v>
      </c>
      <c r="L37" s="3">
        <f t="shared" si="2"/>
        <v>3.0000000000000001E-3</v>
      </c>
    </row>
    <row r="38" spans="1:12" x14ac:dyDescent="0.4">
      <c r="A38" s="3">
        <v>-0.497</v>
      </c>
      <c r="B38" s="3">
        <v>1.3941356934206988E-23</v>
      </c>
      <c r="C38" s="4">
        <f t="shared" si="1"/>
        <v>2.5382211528789182E-24</v>
      </c>
      <c r="D38" s="5">
        <f t="shared" si="0"/>
        <v>2.5382211528789182E-24</v>
      </c>
      <c r="F38" s="3">
        <v>3.6000000000000004E-2</v>
      </c>
      <c r="G38" s="3">
        <v>0</v>
      </c>
      <c r="L38" s="3">
        <f t="shared" si="2"/>
        <v>3.0000000000000001E-3</v>
      </c>
    </row>
    <row r="39" spans="1:12" x14ac:dyDescent="0.4">
      <c r="A39" s="3">
        <v>-0.49600000000000005</v>
      </c>
      <c r="B39" s="3">
        <v>1.7037808748572368E-23</v>
      </c>
      <c r="C39" s="4">
        <f t="shared" si="1"/>
        <v>3.0964518143653804E-24</v>
      </c>
      <c r="D39" s="5">
        <f t="shared" si="0"/>
        <v>3.0964518143653804E-24</v>
      </c>
      <c r="F39" s="3">
        <v>3.6999999999999998E-2</v>
      </c>
      <c r="G39" s="3">
        <v>0</v>
      </c>
      <c r="L39" s="3">
        <f t="shared" si="2"/>
        <v>3.0000000000000001E-3</v>
      </c>
    </row>
    <row r="40" spans="1:12" x14ac:dyDescent="0.4">
      <c r="A40" s="3">
        <v>-0.49500000000000005</v>
      </c>
      <c r="B40" s="3">
        <v>2.0813752194932082E-23</v>
      </c>
      <c r="C40" s="4">
        <f t="shared" si="1"/>
        <v>3.7759434463597136E-24</v>
      </c>
      <c r="D40" s="5">
        <f t="shared" si="0"/>
        <v>3.7759434463597136E-24</v>
      </c>
      <c r="F40" s="3">
        <v>3.7999999999999999E-2</v>
      </c>
      <c r="G40" s="3">
        <v>0</v>
      </c>
      <c r="L40" s="3">
        <f t="shared" si="2"/>
        <v>3.0000000000000001E-3</v>
      </c>
    </row>
    <row r="41" spans="1:12" x14ac:dyDescent="0.4">
      <c r="A41" s="3">
        <v>-0.49400000000000005</v>
      </c>
      <c r="B41" s="3">
        <v>2.5416454899538435E-23</v>
      </c>
      <c r="C41" s="4">
        <f t="shared" si="1"/>
        <v>4.6027027046063534E-24</v>
      </c>
      <c r="D41" s="5">
        <f t="shared" si="0"/>
        <v>4.6027027046063534E-24</v>
      </c>
      <c r="F41" s="3">
        <v>3.9E-2</v>
      </c>
      <c r="G41" s="3">
        <v>0</v>
      </c>
      <c r="L41" s="3">
        <f t="shared" si="2"/>
        <v>3.0000000000000001E-3</v>
      </c>
    </row>
    <row r="42" spans="1:12" x14ac:dyDescent="0.4">
      <c r="A42" s="3">
        <v>-0.49300000000000005</v>
      </c>
      <c r="B42" s="3">
        <v>3.1024695731347631E-23</v>
      </c>
      <c r="C42" s="4">
        <f t="shared" si="1"/>
        <v>5.6082408318091961E-24</v>
      </c>
      <c r="D42" s="5">
        <f t="shared" si="0"/>
        <v>5.6082408318091961E-24</v>
      </c>
      <c r="F42" s="3">
        <v>0.04</v>
      </c>
      <c r="G42" s="3">
        <v>0</v>
      </c>
      <c r="L42" s="3">
        <f t="shared" si="2"/>
        <v>3.0000000000000001E-3</v>
      </c>
    </row>
    <row r="43" spans="1:12" x14ac:dyDescent="0.4">
      <c r="A43" s="3">
        <v>-0.49200000000000005</v>
      </c>
      <c r="B43" s="3">
        <v>3.7855418729000218E-23</v>
      </c>
      <c r="C43" s="4">
        <f t="shared" si="1"/>
        <v>6.8307229976525861E-24</v>
      </c>
      <c r="D43" s="5">
        <f t="shared" si="0"/>
        <v>6.8307229976525861E-24</v>
      </c>
      <c r="F43" s="3">
        <v>4.1000000000000002E-2</v>
      </c>
      <c r="G43" s="3">
        <v>0</v>
      </c>
      <c r="L43" s="3">
        <f t="shared" si="2"/>
        <v>3.0000000000000001E-3</v>
      </c>
    </row>
    <row r="44" spans="1:12" x14ac:dyDescent="0.4">
      <c r="A44" s="3">
        <v>-0.49100000000000005</v>
      </c>
      <c r="B44" s="3">
        <v>4.6171772985456379E-23</v>
      </c>
      <c r="C44" s="4">
        <f t="shared" si="1"/>
        <v>8.3163542564561617E-24</v>
      </c>
      <c r="D44" s="5">
        <f t="shared" si="0"/>
        <v>8.3163542564561617E-24</v>
      </c>
      <c r="F44" s="3">
        <v>4.2000000000000003E-2</v>
      </c>
      <c r="G44" s="3">
        <v>0</v>
      </c>
      <c r="L44" s="3">
        <f t="shared" si="2"/>
        <v>3.0000000000000001E-3</v>
      </c>
    </row>
    <row r="45" spans="1:12" x14ac:dyDescent="0.4">
      <c r="A45" s="3">
        <v>-0.49000000000000005</v>
      </c>
      <c r="B45" s="3">
        <v>5.6292823113765155E-23</v>
      </c>
      <c r="C45" s="4">
        <f t="shared" si="1"/>
        <v>1.0121050128308775E-23</v>
      </c>
      <c r="D45" s="5">
        <f t="shared" si="0"/>
        <v>1.0121050128308775E-23</v>
      </c>
      <c r="F45" s="3">
        <v>4.3000000000000003E-2</v>
      </c>
      <c r="G45" s="3">
        <v>0</v>
      </c>
      <c r="L45" s="3">
        <f t="shared" si="2"/>
        <v>3.0000000000000001E-3</v>
      </c>
    </row>
    <row r="46" spans="1:12" x14ac:dyDescent="0.4">
      <c r="A46" s="3">
        <v>-0.48900000000000005</v>
      </c>
      <c r="B46" s="3">
        <v>6.8605272516018693E-23</v>
      </c>
      <c r="C46" s="4">
        <f t="shared" si="1"/>
        <v>1.2312449402253538E-23</v>
      </c>
      <c r="D46" s="5">
        <f t="shared" si="0"/>
        <v>1.2312449402253538E-23</v>
      </c>
      <c r="F46" s="3">
        <v>4.3999999999999997E-2</v>
      </c>
      <c r="G46" s="3">
        <v>0</v>
      </c>
      <c r="L46" s="3">
        <f t="shared" si="2"/>
        <v>3.0000000000000001E-3</v>
      </c>
    </row>
    <row r="47" spans="1:12" x14ac:dyDescent="0.4">
      <c r="A47" s="3">
        <v>-0.48800000000000004</v>
      </c>
      <c r="B47" s="3">
        <v>8.3577610755682425E-23</v>
      </c>
      <c r="C47" s="4">
        <f t="shared" si="1"/>
        <v>1.4972338239663732E-23</v>
      </c>
      <c r="D47" s="5">
        <f t="shared" si="0"/>
        <v>1.4972338239663732E-23</v>
      </c>
      <c r="F47" s="3">
        <v>4.4999999999999998E-2</v>
      </c>
      <c r="G47" s="3">
        <v>0</v>
      </c>
      <c r="L47" s="3">
        <f t="shared" si="2"/>
        <v>3.0000000000000001E-3</v>
      </c>
    </row>
    <row r="48" spans="1:12" x14ac:dyDescent="0.4">
      <c r="A48" s="3">
        <v>-0.48700000000000004</v>
      </c>
      <c r="B48" s="3">
        <v>1.0177717914296123E-22</v>
      </c>
      <c r="C48" s="4">
        <f t="shared" si="1"/>
        <v>1.8199568387278809E-23</v>
      </c>
      <c r="D48" s="5">
        <f t="shared" si="0"/>
        <v>1.8199568387278809E-23</v>
      </c>
      <c r="F48" s="3">
        <v>4.5999999999999999E-2</v>
      </c>
      <c r="G48" s="3">
        <v>0</v>
      </c>
      <c r="L48" s="3">
        <f t="shared" si="2"/>
        <v>3.0000000000000001E-3</v>
      </c>
    </row>
    <row r="49" spans="1:12" x14ac:dyDescent="0.4">
      <c r="A49" s="3">
        <v>-0.48600000000000004</v>
      </c>
      <c r="B49" s="3">
        <v>1.238907478700482E-22</v>
      </c>
      <c r="C49" s="4">
        <f t="shared" si="1"/>
        <v>2.2113568727086963E-23</v>
      </c>
      <c r="D49" s="5">
        <f t="shared" si="0"/>
        <v>2.2113568727086963E-23</v>
      </c>
      <c r="F49" s="3">
        <v>4.7E-2</v>
      </c>
      <c r="G49" s="3">
        <v>0</v>
      </c>
      <c r="L49" s="3">
        <f t="shared" si="2"/>
        <v>3.0000000000000001E-3</v>
      </c>
    </row>
    <row r="50" spans="1:12" x14ac:dyDescent="0.4">
      <c r="A50" s="3">
        <v>-0.48500000000000004</v>
      </c>
      <c r="B50" s="3">
        <v>1.5074931688101601E-22</v>
      </c>
      <c r="C50" s="4">
        <f t="shared" si="1"/>
        <v>2.6858569010967811E-23</v>
      </c>
      <c r="D50" s="5">
        <f t="shared" si="0"/>
        <v>2.6858569010967811E-23</v>
      </c>
      <c r="F50" s="3">
        <v>4.8000000000000001E-2</v>
      </c>
      <c r="G50" s="3">
        <v>0</v>
      </c>
      <c r="L50" s="3">
        <f t="shared" si="2"/>
        <v>3.0000000000000001E-3</v>
      </c>
    </row>
    <row r="51" spans="1:12" x14ac:dyDescent="0.4">
      <c r="A51" s="3">
        <v>-0.48400000000000004</v>
      </c>
      <c r="B51" s="3">
        <v>1.8335799494758656E-22</v>
      </c>
      <c r="C51" s="4">
        <f t="shared" si="1"/>
        <v>3.2608678066570555E-23</v>
      </c>
      <c r="D51" s="5">
        <f t="shared" si="0"/>
        <v>3.2608678066570555E-23</v>
      </c>
      <c r="F51" s="3">
        <v>4.9000000000000002E-2</v>
      </c>
      <c r="G51" s="3">
        <v>0</v>
      </c>
      <c r="L51" s="3">
        <f t="shared" si="2"/>
        <v>3.0000000000000001E-3</v>
      </c>
    </row>
    <row r="52" spans="1:12" x14ac:dyDescent="0.4">
      <c r="A52" s="3">
        <v>-0.48300000000000004</v>
      </c>
      <c r="B52" s="3">
        <v>2.2293198169501329E-22</v>
      </c>
      <c r="C52" s="4">
        <f t="shared" si="1"/>
        <v>3.9573986747426722E-23</v>
      </c>
      <c r="D52" s="5">
        <f t="shared" si="0"/>
        <v>3.9573986747426722E-23</v>
      </c>
      <c r="F52" s="3">
        <v>0.05</v>
      </c>
      <c r="G52" s="3">
        <v>0</v>
      </c>
      <c r="L52" s="3">
        <f t="shared" si="2"/>
        <v>3.0000000000000001E-3</v>
      </c>
    </row>
    <row r="53" spans="1:12" x14ac:dyDescent="0.4">
      <c r="A53" s="3">
        <v>-0.48200000000000004</v>
      </c>
      <c r="B53" s="3">
        <v>2.7093988099789155E-22</v>
      </c>
      <c r="C53" s="4">
        <f t="shared" si="1"/>
        <v>4.8007899302878266E-23</v>
      </c>
      <c r="D53" s="5">
        <f t="shared" si="0"/>
        <v>4.8007899302878266E-23</v>
      </c>
      <c r="F53" s="3">
        <v>5.1000000000000004E-2</v>
      </c>
      <c r="G53" s="3">
        <v>0</v>
      </c>
      <c r="L53" s="3">
        <f t="shared" si="2"/>
        <v>3.0000000000000001E-3</v>
      </c>
    </row>
    <row r="54" spans="1:12" x14ac:dyDescent="0.4">
      <c r="A54" s="3">
        <v>-0.48100000000000004</v>
      </c>
      <c r="B54" s="3">
        <v>3.291558176897691E-22</v>
      </c>
      <c r="C54" s="4">
        <f t="shared" si="1"/>
        <v>5.8215936691877547E-23</v>
      </c>
      <c r="D54" s="5">
        <f t="shared" si="0"/>
        <v>5.8215936691877547E-23</v>
      </c>
      <c r="F54" s="3">
        <v>5.2000000000000005E-2</v>
      </c>
      <c r="G54" s="3">
        <v>0</v>
      </c>
      <c r="L54" s="3">
        <f t="shared" si="2"/>
        <v>3.0000000000000001E-3</v>
      </c>
    </row>
    <row r="55" spans="1:12" x14ac:dyDescent="0.4">
      <c r="A55" s="3">
        <v>-0.48000000000000004</v>
      </c>
      <c r="B55" s="3">
        <v>3.9972212057262349E-22</v>
      </c>
      <c r="C55" s="4">
        <f t="shared" si="1"/>
        <v>7.0566302882854392E-23</v>
      </c>
      <c r="D55" s="5">
        <f t="shared" si="0"/>
        <v>7.0566302882854392E-23</v>
      </c>
      <c r="F55" s="3">
        <v>5.2999999999999999E-2</v>
      </c>
      <c r="G55" s="3">
        <v>0</v>
      </c>
      <c r="L55" s="3">
        <f t="shared" si="2"/>
        <v>3.0000000000000001E-3</v>
      </c>
    </row>
    <row r="56" spans="1:12" x14ac:dyDescent="0.4">
      <c r="A56" s="3">
        <v>-0.47900000000000004</v>
      </c>
      <c r="B56" s="3">
        <v>4.85224682392036E-22</v>
      </c>
      <c r="C56" s="4">
        <f t="shared" si="1"/>
        <v>8.5502561819412511E-23</v>
      </c>
      <c r="D56" s="5">
        <f t="shared" si="0"/>
        <v>8.5502561819412511E-23</v>
      </c>
      <c r="F56" s="3">
        <v>5.3999999999999999E-2</v>
      </c>
      <c r="G56" s="3">
        <v>0</v>
      </c>
      <c r="L56" s="3">
        <f t="shared" si="2"/>
        <v>3.0000000000000001E-3</v>
      </c>
    </row>
    <row r="57" spans="1:12" x14ac:dyDescent="0.4">
      <c r="A57" s="3">
        <v>-0.47800000000000004</v>
      </c>
      <c r="B57" s="3">
        <v>5.8878352260246179E-22</v>
      </c>
      <c r="C57" s="4">
        <f t="shared" si="1"/>
        <v>1.0355884021042579E-22</v>
      </c>
      <c r="D57" s="5">
        <f t="shared" si="0"/>
        <v>1.0355884021042579E-22</v>
      </c>
      <c r="F57" s="3">
        <v>5.5E-2</v>
      </c>
      <c r="G57" s="3">
        <v>0</v>
      </c>
      <c r="L57" s="3">
        <f t="shared" si="2"/>
        <v>3.0000000000000001E-3</v>
      </c>
    </row>
    <row r="58" spans="1:12" x14ac:dyDescent="0.4">
      <c r="A58" s="3">
        <v>-0.47700000000000004</v>
      </c>
      <c r="B58" s="3">
        <v>7.1416157426281081E-22</v>
      </c>
      <c r="C58" s="4">
        <f t="shared" si="1"/>
        <v>1.2537805166034902E-22</v>
      </c>
      <c r="D58" s="5">
        <f t="shared" si="0"/>
        <v>1.2537805166034902E-22</v>
      </c>
      <c r="F58" s="3">
        <v>5.6000000000000001E-2</v>
      </c>
      <c r="G58" s="3">
        <v>0</v>
      </c>
      <c r="L58" s="3">
        <f t="shared" si="2"/>
        <v>3.0000000000000001E-3</v>
      </c>
    </row>
    <row r="59" spans="1:12" x14ac:dyDescent="0.4">
      <c r="A59" s="3">
        <v>-0.47600000000000003</v>
      </c>
      <c r="B59" s="3">
        <v>8.658953075724389E-22</v>
      </c>
      <c r="C59" s="4">
        <f t="shared" si="1"/>
        <v>1.5173373330962809E-22</v>
      </c>
      <c r="D59" s="5">
        <f t="shared" si="0"/>
        <v>1.5173373330962809E-22</v>
      </c>
      <c r="F59" s="3">
        <v>5.7000000000000002E-2</v>
      </c>
      <c r="G59" s="3">
        <v>0</v>
      </c>
      <c r="L59" s="3">
        <f t="shared" si="2"/>
        <v>3.0000000000000001E-3</v>
      </c>
    </row>
    <row r="60" spans="1:12" x14ac:dyDescent="0.4">
      <c r="A60" s="3">
        <v>-0.47500000000000003</v>
      </c>
      <c r="B60" s="3">
        <v>1.0494515075362608E-21</v>
      </c>
      <c r="C60" s="4">
        <f t="shared" si="1"/>
        <v>1.8355619996382191E-22</v>
      </c>
      <c r="D60" s="5">
        <f t="shared" si="0"/>
        <v>1.8355619996382191E-22</v>
      </c>
      <c r="F60" s="3">
        <v>5.8000000000000003E-2</v>
      </c>
      <c r="G60" s="3">
        <v>0</v>
      </c>
      <c r="L60" s="3">
        <f t="shared" si="2"/>
        <v>3.0000000000000001E-3</v>
      </c>
    </row>
    <row r="61" spans="1:12" x14ac:dyDescent="0.4">
      <c r="A61" s="3">
        <v>-0.47400000000000003</v>
      </c>
      <c r="B61" s="3">
        <v>1.271415363578248E-21</v>
      </c>
      <c r="C61" s="4">
        <f t="shared" si="1"/>
        <v>2.2196385604198721E-22</v>
      </c>
      <c r="D61" s="5">
        <f t="shared" si="0"/>
        <v>2.2196385604198721E-22</v>
      </c>
      <c r="F61" s="3">
        <v>5.9000000000000004E-2</v>
      </c>
      <c r="G61" s="3">
        <v>0</v>
      </c>
      <c r="L61" s="3">
        <f t="shared" si="2"/>
        <v>3.0000000000000001E-3</v>
      </c>
    </row>
    <row r="62" spans="1:12" x14ac:dyDescent="0.4">
      <c r="A62" s="3">
        <v>-0.47300000000000003</v>
      </c>
      <c r="B62" s="3">
        <v>1.5397160301520191E-21</v>
      </c>
      <c r="C62" s="4">
        <f t="shared" si="1"/>
        <v>2.6830066657377111E-22</v>
      </c>
      <c r="D62" s="5">
        <f t="shared" si="0"/>
        <v>2.6830066657377111E-22</v>
      </c>
      <c r="F62" s="3">
        <v>0.06</v>
      </c>
      <c r="G62" s="3">
        <v>0</v>
      </c>
      <c r="L62" s="3">
        <f t="shared" si="2"/>
        <v>3.0000000000000001E-3</v>
      </c>
    </row>
    <row r="63" spans="1:12" x14ac:dyDescent="0.4">
      <c r="A63" s="3">
        <v>-0.47200000000000003</v>
      </c>
      <c r="B63" s="3">
        <v>1.8638970098110973E-21</v>
      </c>
      <c r="C63" s="4">
        <f t="shared" si="1"/>
        <v>3.2418097965907813E-22</v>
      </c>
      <c r="D63" s="5">
        <f t="shared" si="0"/>
        <v>3.2418097965907813E-22</v>
      </c>
      <c r="F63" s="3">
        <v>6.0999999999999999E-2</v>
      </c>
      <c r="G63" s="3">
        <v>0</v>
      </c>
      <c r="L63" s="3">
        <f t="shared" si="2"/>
        <v>3.0000000000000001E-3</v>
      </c>
    </row>
    <row r="64" spans="1:12" x14ac:dyDescent="0.4">
      <c r="A64" s="3">
        <v>-0.47100000000000003</v>
      </c>
      <c r="B64" s="3">
        <v>2.2554401296836817E-21</v>
      </c>
      <c r="C64" s="4">
        <f t="shared" si="1"/>
        <v>3.9154311987258445E-22</v>
      </c>
      <c r="D64" s="5">
        <f t="shared" si="0"/>
        <v>3.9154311987258445E-22</v>
      </c>
      <c r="F64" s="3">
        <v>6.2E-2</v>
      </c>
      <c r="G64" s="3">
        <v>0</v>
      </c>
      <c r="L64" s="3">
        <f t="shared" si="2"/>
        <v>3.0000000000000001E-3</v>
      </c>
    </row>
    <row r="65" spans="1:12" x14ac:dyDescent="0.4">
      <c r="A65" s="3">
        <v>-0.47000000000000003</v>
      </c>
      <c r="B65" s="3">
        <v>2.728153571346088E-21</v>
      </c>
      <c r="C65" s="4">
        <f t="shared" si="1"/>
        <v>4.7271344166240624E-22</v>
      </c>
      <c r="D65" s="5">
        <f t="shared" si="0"/>
        <v>4.7271344166240624E-22</v>
      </c>
      <c r="F65" s="3">
        <v>6.3E-2</v>
      </c>
      <c r="G65" s="3">
        <v>0</v>
      </c>
      <c r="L65" s="3">
        <f t="shared" si="2"/>
        <v>3.0000000000000001E-3</v>
      </c>
    </row>
    <row r="66" spans="1:12" x14ac:dyDescent="0.4">
      <c r="A66" s="3">
        <v>-0.46900000000000003</v>
      </c>
      <c r="B66" s="3">
        <v>3.2986364230152514E-21</v>
      </c>
      <c r="C66" s="4">
        <f t="shared" si="1"/>
        <v>5.7048285166916339E-22</v>
      </c>
      <c r="D66" s="5">
        <f t="shared" ref="D66:D129" si="3">C66</f>
        <v>5.7048285166916339E-22</v>
      </c>
      <c r="F66" s="3">
        <v>6.4000000000000001E-2</v>
      </c>
      <c r="G66" s="3">
        <v>0</v>
      </c>
      <c r="L66" s="3">
        <f t="shared" si="2"/>
        <v>3.0000000000000001E-3</v>
      </c>
    </row>
    <row r="67" spans="1:12" x14ac:dyDescent="0.4">
      <c r="A67" s="3">
        <v>-0.46800000000000003</v>
      </c>
      <c r="B67" s="3">
        <v>3.9868346113159588E-21</v>
      </c>
      <c r="C67" s="4">
        <f t="shared" ref="C67:C130" si="4">B67-B66</f>
        <v>6.8819818830070745E-22</v>
      </c>
      <c r="D67" s="5">
        <f t="shared" si="3"/>
        <v>6.8819818830070745E-22</v>
      </c>
      <c r="F67" s="3">
        <v>6.5000000000000002E-2</v>
      </c>
      <c r="G67" s="3">
        <v>0</v>
      </c>
      <c r="L67" s="3">
        <f t="shared" si="2"/>
        <v>3.0000000000000001E-3</v>
      </c>
    </row>
    <row r="68" spans="1:12" x14ac:dyDescent="0.4">
      <c r="A68" s="3">
        <v>-0.46700000000000003</v>
      </c>
      <c r="B68" s="3">
        <v>4.8167059080290105E-21</v>
      </c>
      <c r="C68" s="4">
        <f t="shared" si="4"/>
        <v>8.2987129671305173E-22</v>
      </c>
      <c r="D68" s="5">
        <f t="shared" si="3"/>
        <v>8.2987129671305173E-22</v>
      </c>
      <c r="F68" s="3">
        <v>6.6000000000000003E-2</v>
      </c>
      <c r="G68" s="3">
        <v>0</v>
      </c>
      <c r="L68" s="3">
        <f t="shared" ref="L68:L131" si="5">L67</f>
        <v>3.0000000000000001E-3</v>
      </c>
    </row>
    <row r="69" spans="1:12" x14ac:dyDescent="0.4">
      <c r="A69" s="3">
        <v>-0.46600000000000003</v>
      </c>
      <c r="B69" s="3">
        <v>5.8170150784304927E-21</v>
      </c>
      <c r="C69" s="4">
        <f t="shared" si="4"/>
        <v>1.0003091704014821E-21</v>
      </c>
      <c r="D69" s="5">
        <f t="shared" si="3"/>
        <v>1.0003091704014821E-21</v>
      </c>
      <c r="F69" s="3">
        <v>6.7000000000000004E-2</v>
      </c>
      <c r="G69" s="3">
        <v>0</v>
      </c>
      <c r="L69" s="3">
        <f t="shared" si="5"/>
        <v>3.0000000000000001E-3</v>
      </c>
    </row>
    <row r="70" spans="1:12" x14ac:dyDescent="0.4">
      <c r="A70" s="3">
        <v>-0.46500000000000002</v>
      </c>
      <c r="B70" s="3">
        <v>7.0222842404415396E-21</v>
      </c>
      <c r="C70" s="4">
        <f t="shared" si="4"/>
        <v>1.2052691620110469E-21</v>
      </c>
      <c r="D70" s="5">
        <f t="shared" si="3"/>
        <v>1.2052691620110469E-21</v>
      </c>
      <c r="F70" s="3">
        <v>6.8000000000000005E-2</v>
      </c>
      <c r="G70" s="3">
        <v>0</v>
      </c>
      <c r="L70" s="3">
        <f t="shared" si="5"/>
        <v>3.0000000000000001E-3</v>
      </c>
    </row>
    <row r="71" spans="1:12" x14ac:dyDescent="0.4">
      <c r="A71" s="3">
        <v>-0.46400000000000002</v>
      </c>
      <c r="B71" s="3">
        <v>8.4739282539988779E-21</v>
      </c>
      <c r="C71" s="4">
        <f t="shared" si="4"/>
        <v>1.4516440135573383E-21</v>
      </c>
      <c r="D71" s="5">
        <f t="shared" si="3"/>
        <v>1.4516440135573383E-21</v>
      </c>
      <c r="F71" s="3">
        <v>6.9000000000000006E-2</v>
      </c>
      <c r="G71" s="3">
        <v>0</v>
      </c>
      <c r="L71" s="3">
        <f t="shared" si="5"/>
        <v>3.0000000000000001E-3</v>
      </c>
    </row>
    <row r="72" spans="1:12" x14ac:dyDescent="0.4">
      <c r="A72" s="3">
        <v>-0.46300000000000002</v>
      </c>
      <c r="B72" s="3">
        <v>1.0221610594963089E-20</v>
      </c>
      <c r="C72" s="4">
        <f t="shared" si="4"/>
        <v>1.7476823409642109E-21</v>
      </c>
      <c r="D72" s="5">
        <f t="shared" si="3"/>
        <v>1.7476823409642109E-21</v>
      </c>
      <c r="F72" s="3">
        <v>7.0000000000000007E-2</v>
      </c>
      <c r="G72" s="3">
        <v>0</v>
      </c>
      <c r="L72" s="3">
        <f t="shared" si="5"/>
        <v>3.0000000000000001E-3</v>
      </c>
    </row>
    <row r="73" spans="1:12" x14ac:dyDescent="0.4">
      <c r="A73" s="3">
        <v>-0.46200000000000002</v>
      </c>
      <c r="B73" s="3">
        <v>1.2324861849358502E-20</v>
      </c>
      <c r="C73" s="4">
        <f t="shared" si="4"/>
        <v>2.1032512543954137E-21</v>
      </c>
      <c r="D73" s="5">
        <f t="shared" si="3"/>
        <v>2.1032512543954137E-21</v>
      </c>
      <c r="F73" s="3">
        <v>7.1000000000000008E-2</v>
      </c>
      <c r="G73" s="3">
        <v>0</v>
      </c>
      <c r="L73" s="3">
        <f t="shared" si="5"/>
        <v>3.0000000000000001E-3</v>
      </c>
    </row>
    <row r="74" spans="1:12" x14ac:dyDescent="0.4">
      <c r="A74" s="3">
        <v>-0.46100000000000002</v>
      </c>
      <c r="B74" s="3">
        <v>1.4855010882645536E-20</v>
      </c>
      <c r="C74" s="4">
        <f t="shared" si="4"/>
        <v>2.5301490332870335E-21</v>
      </c>
      <c r="D74" s="5">
        <f t="shared" si="3"/>
        <v>2.5301490332870335E-21</v>
      </c>
      <c r="F74" s="3">
        <v>7.2000000000000008E-2</v>
      </c>
      <c r="G74" s="3">
        <v>0</v>
      </c>
      <c r="L74" s="3">
        <f t="shared" si="5"/>
        <v>3.0000000000000001E-3</v>
      </c>
    </row>
    <row r="75" spans="1:12" x14ac:dyDescent="0.4">
      <c r="A75" s="3">
        <v>-0.46</v>
      </c>
      <c r="B75" s="3">
        <v>1.7897488120140534E-20</v>
      </c>
      <c r="C75" s="4">
        <f t="shared" si="4"/>
        <v>3.0424772374949982E-21</v>
      </c>
      <c r="D75" s="5">
        <f t="shared" si="3"/>
        <v>3.0424772374949982E-21</v>
      </c>
      <c r="F75" s="3">
        <v>7.2999999999999995E-2</v>
      </c>
      <c r="G75" s="3">
        <v>0</v>
      </c>
      <c r="L75" s="3">
        <f t="shared" si="5"/>
        <v>3.0000000000000001E-3</v>
      </c>
    </row>
    <row r="76" spans="1:12" x14ac:dyDescent="0.4">
      <c r="A76" s="3">
        <v>-0.45900000000000002</v>
      </c>
      <c r="B76" s="3">
        <v>2.155457148378429E-20</v>
      </c>
      <c r="C76" s="4">
        <f t="shared" si="4"/>
        <v>3.6570833636437557E-21</v>
      </c>
      <c r="D76" s="5">
        <f t="shared" si="3"/>
        <v>3.6570833636437557E-21</v>
      </c>
      <c r="F76" s="3">
        <v>7.3999999999999996E-2</v>
      </c>
      <c r="G76" s="3">
        <v>0</v>
      </c>
      <c r="L76" s="3">
        <f t="shared" si="5"/>
        <v>3.0000000000000001E-3</v>
      </c>
    </row>
    <row r="77" spans="1:12" x14ac:dyDescent="0.4">
      <c r="A77" s="3">
        <v>-0.45800000000000002</v>
      </c>
      <c r="B77" s="3">
        <v>2.5948658679619875E-20</v>
      </c>
      <c r="C77" s="4">
        <f t="shared" si="4"/>
        <v>4.3940871958355852E-21</v>
      </c>
      <c r="D77" s="5">
        <f t="shared" si="3"/>
        <v>4.3940871958355852E-21</v>
      </c>
      <c r="F77" s="3">
        <v>7.4999999999999997E-2</v>
      </c>
      <c r="G77" s="3">
        <v>0</v>
      </c>
      <c r="L77" s="3">
        <f t="shared" si="5"/>
        <v>3.0000000000000001E-3</v>
      </c>
    </row>
    <row r="78" spans="1:12" x14ac:dyDescent="0.4">
      <c r="A78" s="3">
        <v>-0.45700000000000002</v>
      </c>
      <c r="B78" s="3">
        <v>3.1226165087293539E-20</v>
      </c>
      <c r="C78" s="4">
        <f t="shared" si="4"/>
        <v>5.2775064076736643E-21</v>
      </c>
      <c r="D78" s="5">
        <f t="shared" si="3"/>
        <v>5.2775064076736643E-21</v>
      </c>
      <c r="F78" s="3">
        <v>7.5999999999999998E-2</v>
      </c>
      <c r="G78" s="3">
        <v>0</v>
      </c>
      <c r="L78" s="3">
        <f t="shared" si="5"/>
        <v>3.0000000000000001E-3</v>
      </c>
    </row>
    <row r="79" spans="1:12" x14ac:dyDescent="0.4">
      <c r="A79" s="3">
        <v>-0.45600000000000002</v>
      </c>
      <c r="B79" s="3">
        <v>3.7562164900480734E-20</v>
      </c>
      <c r="C79" s="4">
        <f t="shared" si="4"/>
        <v>6.3359998131871946E-21</v>
      </c>
      <c r="D79" s="5">
        <f t="shared" si="3"/>
        <v>6.3359998131871946E-21</v>
      </c>
      <c r="F79" s="3">
        <v>7.6999999999999999E-2</v>
      </c>
      <c r="G79" s="3">
        <v>0</v>
      </c>
      <c r="L79" s="3">
        <f t="shared" si="5"/>
        <v>3.0000000000000001E-3</v>
      </c>
    </row>
    <row r="80" spans="1:12" x14ac:dyDescent="0.4">
      <c r="A80" s="3">
        <v>-0.45500000000000002</v>
      </c>
      <c r="B80" s="3">
        <v>4.5165914914354036E-20</v>
      </c>
      <c r="C80" s="4">
        <f t="shared" si="4"/>
        <v>7.6037500138733024E-21</v>
      </c>
      <c r="D80" s="5">
        <f t="shared" si="3"/>
        <v>7.6037500138733024E-21</v>
      </c>
      <c r="F80" s="3">
        <v>7.8E-2</v>
      </c>
      <c r="G80" s="3">
        <v>0</v>
      </c>
      <c r="L80" s="3">
        <f t="shared" si="5"/>
        <v>3.0000000000000001E-3</v>
      </c>
    </row>
    <row r="81" spans="1:12" x14ac:dyDescent="0.4">
      <c r="A81" s="3">
        <v>-0.45400000000000001</v>
      </c>
      <c r="B81" s="3">
        <v>5.4287426051638735E-20</v>
      </c>
      <c r="C81" s="4">
        <f t="shared" si="4"/>
        <v>9.1215111372846982E-21</v>
      </c>
      <c r="D81" s="5">
        <f t="shared" si="3"/>
        <v>9.1215111372846982E-21</v>
      </c>
      <c r="F81" s="3">
        <v>7.9000000000000001E-2</v>
      </c>
      <c r="G81" s="3">
        <v>0</v>
      </c>
      <c r="L81" s="3">
        <f t="shared" si="5"/>
        <v>3.0000000000000001E-3</v>
      </c>
    </row>
    <row r="82" spans="1:12" x14ac:dyDescent="0.4">
      <c r="A82" s="3">
        <v>-0.45300000000000001</v>
      </c>
      <c r="B82" s="3">
        <v>6.522527806571296E-20</v>
      </c>
      <c r="C82" s="4">
        <f t="shared" si="4"/>
        <v>1.0937852014074225E-20</v>
      </c>
      <c r="D82" s="5">
        <f t="shared" si="3"/>
        <v>1.0937852014074225E-20</v>
      </c>
      <c r="F82" s="3">
        <v>0.08</v>
      </c>
      <c r="G82" s="3">
        <v>0</v>
      </c>
      <c r="L82" s="3">
        <f t="shared" si="5"/>
        <v>3.0000000000000001E-3</v>
      </c>
    </row>
    <row r="83" spans="1:12" x14ac:dyDescent="0.4">
      <c r="A83" s="3">
        <v>-0.45200000000000001</v>
      </c>
      <c r="B83" s="3">
        <v>7.8335908683905892E-20</v>
      </c>
      <c r="C83" s="4">
        <f t="shared" si="4"/>
        <v>1.3110630618192932E-20</v>
      </c>
      <c r="D83" s="5">
        <f t="shared" si="3"/>
        <v>1.3110630618192932E-20</v>
      </c>
      <c r="F83" s="3">
        <v>8.1000000000000003E-2</v>
      </c>
      <c r="G83" s="3">
        <v>0</v>
      </c>
      <c r="L83" s="3">
        <f t="shared" si="5"/>
        <v>3.0000000000000001E-3</v>
      </c>
    </row>
    <row r="84" spans="1:12" x14ac:dyDescent="0.4">
      <c r="A84" s="3">
        <v>-0.45100000000000001</v>
      </c>
      <c r="B84" s="3">
        <v>9.404465072648397E-20</v>
      </c>
      <c r="C84" s="4">
        <f t="shared" si="4"/>
        <v>1.5708742042578078E-20</v>
      </c>
      <c r="D84" s="5">
        <f t="shared" si="3"/>
        <v>1.5708742042578078E-20</v>
      </c>
      <c r="F84" s="3">
        <v>8.2000000000000003E-2</v>
      </c>
      <c r="G84" s="3">
        <v>0</v>
      </c>
      <c r="L84" s="3">
        <f t="shared" si="5"/>
        <v>3.0000000000000001E-3</v>
      </c>
    </row>
    <row r="85" spans="1:12" x14ac:dyDescent="0.4">
      <c r="A85" s="3">
        <v>-0.45</v>
      </c>
      <c r="B85" s="3">
        <v>1.1285884059538324E-19</v>
      </c>
      <c r="C85" s="4">
        <f t="shared" si="4"/>
        <v>1.8814189868899266E-20</v>
      </c>
      <c r="D85" s="5">
        <f t="shared" si="3"/>
        <v>1.8814189868899266E-20</v>
      </c>
      <c r="F85" s="3">
        <v>8.3000000000000004E-2</v>
      </c>
      <c r="G85" s="3">
        <v>0</v>
      </c>
      <c r="L85" s="3">
        <f t="shared" si="5"/>
        <v>3.0000000000000001E-3</v>
      </c>
    </row>
    <row r="86" spans="1:12" x14ac:dyDescent="0.4">
      <c r="A86" s="3">
        <v>-0.44900000000000001</v>
      </c>
      <c r="B86" s="3">
        <v>1.3538338030657835E-19</v>
      </c>
      <c r="C86" s="4">
        <f t="shared" si="4"/>
        <v>2.2524539711195116E-20</v>
      </c>
      <c r="D86" s="5">
        <f t="shared" si="3"/>
        <v>2.2524539711195116E-20</v>
      </c>
      <c r="F86" s="3">
        <v>8.4000000000000005E-2</v>
      </c>
      <c r="G86" s="3">
        <v>0</v>
      </c>
      <c r="L86" s="3">
        <f t="shared" si="5"/>
        <v>3.0000000000000001E-3</v>
      </c>
    </row>
    <row r="87" spans="1:12" x14ac:dyDescent="0.4">
      <c r="A87" s="3">
        <v>-0.44800000000000001</v>
      </c>
      <c r="B87" s="3">
        <v>1.623392045070109E-19</v>
      </c>
      <c r="C87" s="4">
        <f t="shared" si="4"/>
        <v>2.6955824200432548E-20</v>
      </c>
      <c r="D87" s="5">
        <f t="shared" si="3"/>
        <v>2.6955824200432548E-20</v>
      </c>
      <c r="F87" s="3">
        <v>8.5000000000000006E-2</v>
      </c>
      <c r="G87" s="3">
        <v>0</v>
      </c>
      <c r="L87" s="3">
        <f t="shared" si="5"/>
        <v>3.0000000000000001E-3</v>
      </c>
    </row>
    <row r="88" spans="1:12" x14ac:dyDescent="0.4">
      <c r="A88" s="3">
        <v>-0.44700000000000001</v>
      </c>
      <c r="B88" s="3">
        <v>1.9458518550569686E-19</v>
      </c>
      <c r="C88" s="4">
        <f t="shared" si="4"/>
        <v>3.2245980998685964E-20</v>
      </c>
      <c r="D88" s="5">
        <f t="shared" si="3"/>
        <v>3.2245980998685964E-20</v>
      </c>
      <c r="F88" s="3">
        <v>8.6000000000000007E-2</v>
      </c>
      <c r="G88" s="3">
        <v>0</v>
      </c>
      <c r="L88" s="3">
        <f t="shared" si="5"/>
        <v>3.0000000000000001E-3</v>
      </c>
    </row>
    <row r="89" spans="1:12" x14ac:dyDescent="0.4">
      <c r="A89" s="3">
        <v>-0.44600000000000001</v>
      </c>
      <c r="B89" s="3">
        <v>2.3314410540858517E-19</v>
      </c>
      <c r="C89" s="4">
        <f t="shared" si="4"/>
        <v>3.8558919902888308E-20</v>
      </c>
      <c r="D89" s="5">
        <f t="shared" si="3"/>
        <v>3.8558919902888308E-20</v>
      </c>
      <c r="F89" s="3">
        <v>8.7000000000000008E-2</v>
      </c>
      <c r="G89" s="3">
        <v>0</v>
      </c>
      <c r="L89" s="3">
        <f t="shared" si="5"/>
        <v>3.0000000000000001E-3</v>
      </c>
    </row>
    <row r="90" spans="1:12" x14ac:dyDescent="0.4">
      <c r="A90" s="3">
        <v>-0.44500000000000006</v>
      </c>
      <c r="B90" s="3">
        <v>2.7923343749396247E-19</v>
      </c>
      <c r="C90" s="4">
        <f t="shared" si="4"/>
        <v>4.6089332085377302E-20</v>
      </c>
      <c r="D90" s="5">
        <f t="shared" si="3"/>
        <v>4.6089332085377302E-20</v>
      </c>
      <c r="F90" s="3">
        <v>8.7999999999999995E-2</v>
      </c>
      <c r="G90" s="3">
        <v>0</v>
      </c>
      <c r="L90" s="3">
        <f t="shared" si="5"/>
        <v>3.0000000000000001E-3</v>
      </c>
    </row>
    <row r="91" spans="1:12" x14ac:dyDescent="0.4">
      <c r="A91" s="3">
        <v>-0.44400000000000006</v>
      </c>
      <c r="B91" s="3">
        <v>3.3430181194514089E-19</v>
      </c>
      <c r="C91" s="4">
        <f t="shared" si="4"/>
        <v>5.5068374451178416E-20</v>
      </c>
      <c r="D91" s="5">
        <f t="shared" si="3"/>
        <v>5.5068374451178416E-20</v>
      </c>
      <c r="F91" s="3">
        <v>8.8999999999999996E-2</v>
      </c>
      <c r="G91" s="3">
        <v>0</v>
      </c>
      <c r="L91" s="3">
        <f t="shared" si="5"/>
        <v>3.0000000000000001E-3</v>
      </c>
    </row>
    <row r="92" spans="1:12" x14ac:dyDescent="0.4">
      <c r="A92" s="3">
        <v>-0.44300000000000006</v>
      </c>
      <c r="B92" s="3">
        <v>4.0007219741431632E-19</v>
      </c>
      <c r="C92" s="4">
        <f t="shared" si="4"/>
        <v>6.5770385469175428E-20</v>
      </c>
      <c r="D92" s="5">
        <f t="shared" si="3"/>
        <v>6.5770385469175428E-20</v>
      </c>
      <c r="F92" s="3">
        <v>0.09</v>
      </c>
      <c r="G92" s="3">
        <v>0</v>
      </c>
      <c r="L92" s="3">
        <f t="shared" si="5"/>
        <v>3.0000000000000001E-3</v>
      </c>
    </row>
    <row r="93" spans="1:12" x14ac:dyDescent="0.4">
      <c r="A93" s="3">
        <v>-0.44200000000000006</v>
      </c>
      <c r="B93" s="3">
        <v>4.7859301365398805E-19</v>
      </c>
      <c r="C93" s="4">
        <f t="shared" si="4"/>
        <v>7.852081623967173E-20</v>
      </c>
      <c r="D93" s="5">
        <f t="shared" si="3"/>
        <v>7.852081623967173E-20</v>
      </c>
      <c r="F93" s="3">
        <v>9.0999999999999998E-2</v>
      </c>
      <c r="G93" s="3">
        <v>0</v>
      </c>
      <c r="L93" s="3">
        <f t="shared" si="5"/>
        <v>3.0000000000000001E-3</v>
      </c>
    </row>
    <row r="94" spans="1:12" x14ac:dyDescent="0.4">
      <c r="A94" s="3">
        <v>-0.44100000000000006</v>
      </c>
      <c r="B94" s="3">
        <v>5.7229860632711736E-19</v>
      </c>
      <c r="C94" s="4">
        <f t="shared" si="4"/>
        <v>9.3705592673129314E-20</v>
      </c>
      <c r="D94" s="5">
        <f t="shared" si="3"/>
        <v>9.3705592673129314E-20</v>
      </c>
      <c r="F94" s="3">
        <v>9.1999999999999998E-2</v>
      </c>
      <c r="G94" s="3">
        <v>0</v>
      </c>
      <c r="L94" s="3">
        <f t="shared" si="5"/>
        <v>3.0000000000000001E-3</v>
      </c>
    </row>
    <row r="95" spans="1:12" x14ac:dyDescent="0.4">
      <c r="A95" s="3">
        <v>-0.44000000000000006</v>
      </c>
      <c r="B95" s="3">
        <v>6.840807685935497E-19</v>
      </c>
      <c r="C95" s="4">
        <f t="shared" si="4"/>
        <v>1.1178216226643234E-19</v>
      </c>
      <c r="D95" s="5">
        <f t="shared" si="3"/>
        <v>1.1178216226643234E-19</v>
      </c>
      <c r="F95" s="3">
        <v>9.2999999999999999E-2</v>
      </c>
      <c r="G95" s="3">
        <v>0</v>
      </c>
      <c r="L95" s="3">
        <f t="shared" si="5"/>
        <v>3.0000000000000001E-3</v>
      </c>
    </row>
    <row r="96" spans="1:12" x14ac:dyDescent="0.4">
      <c r="A96" s="3">
        <v>-0.43900000000000006</v>
      </c>
      <c r="B96" s="3">
        <v>8.1737329158704136E-19</v>
      </c>
      <c r="C96" s="4">
        <f t="shared" si="4"/>
        <v>1.3329252299349166E-19</v>
      </c>
      <c r="D96" s="5">
        <f t="shared" si="3"/>
        <v>1.3329252299349166E-19</v>
      </c>
      <c r="F96" s="3">
        <v>9.4E-2</v>
      </c>
      <c r="G96" s="3">
        <v>0</v>
      </c>
      <c r="L96" s="3">
        <f t="shared" si="5"/>
        <v>3.0000000000000001E-3</v>
      </c>
    </row>
    <row r="97" spans="1:16" x14ac:dyDescent="0.4">
      <c r="A97" s="3">
        <v>-0.43800000000000006</v>
      </c>
      <c r="B97" s="3">
        <v>9.7625187493881894E-19</v>
      </c>
      <c r="C97" s="4">
        <f t="shared" si="4"/>
        <v>1.5887858335177758E-19</v>
      </c>
      <c r="D97" s="5">
        <f t="shared" si="3"/>
        <v>1.5887858335177758E-19</v>
      </c>
      <c r="F97" s="3">
        <v>9.5000000000000001E-2</v>
      </c>
      <c r="G97" s="3">
        <v>0</v>
      </c>
      <c r="L97" s="3">
        <f t="shared" si="5"/>
        <v>3.0000000000000001E-3</v>
      </c>
      <c r="P97" s="3" t="e">
        <f>1/0</f>
        <v>#DIV/0!</v>
      </c>
    </row>
    <row r="98" spans="1:16" x14ac:dyDescent="0.4">
      <c r="A98" s="3">
        <v>-0.43700000000000006</v>
      </c>
      <c r="B98" s="3">
        <v>1.16555213780823E-18</v>
      </c>
      <c r="C98" s="4">
        <f t="shared" si="4"/>
        <v>1.8930026286941104E-19</v>
      </c>
      <c r="D98" s="5">
        <f t="shared" si="3"/>
        <v>1.8930026286941104E-19</v>
      </c>
      <c r="F98" s="3">
        <v>9.6000000000000002E-2</v>
      </c>
      <c r="G98" s="3">
        <v>0</v>
      </c>
      <c r="L98" s="3">
        <f t="shared" si="5"/>
        <v>3.0000000000000001E-3</v>
      </c>
    </row>
    <row r="99" spans="1:16" x14ac:dyDescent="0.4">
      <c r="A99" s="3">
        <v>-0.43600000000000005</v>
      </c>
      <c r="B99" s="3">
        <v>1.3910089506409745E-18</v>
      </c>
      <c r="C99" s="4">
        <f t="shared" si="4"/>
        <v>2.2545681283274452E-19</v>
      </c>
      <c r="D99" s="5">
        <f t="shared" si="3"/>
        <v>2.2545681283274452E-19</v>
      </c>
      <c r="F99" s="3">
        <v>9.7000000000000003E-2</v>
      </c>
      <c r="G99" s="3">
        <v>0</v>
      </c>
      <c r="L99" s="3">
        <f t="shared" si="5"/>
        <v>3.0000000000000001E-3</v>
      </c>
    </row>
    <row r="100" spans="1:16" x14ac:dyDescent="0.4">
      <c r="A100" s="3">
        <v>-0.43500000000000005</v>
      </c>
      <c r="B100" s="3">
        <v>1.6594208699647525E-18</v>
      </c>
      <c r="C100" s="4">
        <f t="shared" si="4"/>
        <v>2.6841191932377798E-19</v>
      </c>
      <c r="D100" s="5">
        <f t="shared" si="3"/>
        <v>2.6841191932377798E-19</v>
      </c>
      <c r="F100" s="3">
        <v>9.8000000000000004E-2</v>
      </c>
      <c r="G100" s="3">
        <v>0</v>
      </c>
      <c r="L100" s="3">
        <f t="shared" si="5"/>
        <v>3.0000000000000001E-3</v>
      </c>
    </row>
    <row r="101" spans="1:16" x14ac:dyDescent="0.4">
      <c r="A101" s="3">
        <v>-0.43400000000000005</v>
      </c>
      <c r="B101" s="3">
        <v>1.9788441167872154E-18</v>
      </c>
      <c r="C101" s="4">
        <f t="shared" si="4"/>
        <v>3.194232468224629E-19</v>
      </c>
      <c r="D101" s="5">
        <f t="shared" si="3"/>
        <v>3.194232468224629E-19</v>
      </c>
      <c r="F101" s="3">
        <v>9.9000000000000005E-2</v>
      </c>
      <c r="G101" s="3">
        <v>0</v>
      </c>
      <c r="L101" s="3">
        <f t="shared" si="5"/>
        <v>3.0000000000000001E-3</v>
      </c>
    </row>
    <row r="102" spans="1:16" x14ac:dyDescent="0.4">
      <c r="A102" s="3">
        <v>-0.43300000000000005</v>
      </c>
      <c r="B102" s="3">
        <v>2.358821309687213E-18</v>
      </c>
      <c r="C102" s="4">
        <f t="shared" si="4"/>
        <v>3.7997719289999765E-19</v>
      </c>
      <c r="D102" s="5">
        <f t="shared" si="3"/>
        <v>3.7997719289999765E-19</v>
      </c>
      <c r="F102" s="3">
        <v>0.1</v>
      </c>
      <c r="G102" s="3">
        <v>0</v>
      </c>
      <c r="L102" s="3">
        <f t="shared" si="5"/>
        <v>3.0000000000000001E-3</v>
      </c>
    </row>
    <row r="103" spans="1:16" x14ac:dyDescent="0.4">
      <c r="A103" s="3">
        <v>-0.43200000000000005</v>
      </c>
      <c r="B103" s="3">
        <v>2.8106510652342251E-18</v>
      </c>
      <c r="C103" s="4">
        <f t="shared" si="4"/>
        <v>4.5182975554701209E-19</v>
      </c>
      <c r="D103" s="5">
        <f t="shared" si="3"/>
        <v>4.5182975554701209E-19</v>
      </c>
      <c r="F103" s="3">
        <v>0.10100000000000001</v>
      </c>
      <c r="G103" s="3">
        <v>0</v>
      </c>
      <c r="L103" s="3">
        <f t="shared" si="5"/>
        <v>3.0000000000000001E-3</v>
      </c>
    </row>
    <row r="104" spans="1:16" x14ac:dyDescent="0.4">
      <c r="A104" s="3">
        <v>-0.43100000000000005</v>
      </c>
      <c r="B104" s="3">
        <v>3.347705632735064E-18</v>
      </c>
      <c r="C104" s="4">
        <f t="shared" si="4"/>
        <v>5.3705456750083883E-19</v>
      </c>
      <c r="D104" s="5">
        <f t="shared" si="3"/>
        <v>5.3705456750083883E-19</v>
      </c>
      <c r="F104" s="3">
        <v>0.10200000000000001</v>
      </c>
      <c r="G104" s="3">
        <v>0</v>
      </c>
      <c r="L104" s="3">
        <f t="shared" si="5"/>
        <v>3.0000000000000001E-3</v>
      </c>
    </row>
    <row r="105" spans="1:16" x14ac:dyDescent="0.4">
      <c r="A105" s="3">
        <v>-0.43000000000000005</v>
      </c>
      <c r="B105" s="3">
        <v>3.9858049628481541E-18</v>
      </c>
      <c r="C105" s="4">
        <f t="shared" si="4"/>
        <v>6.3809933011309017E-19</v>
      </c>
      <c r="D105" s="5">
        <f t="shared" si="3"/>
        <v>6.3809933011309017E-19</v>
      </c>
      <c r="F105" s="3">
        <v>0.10300000000000001</v>
      </c>
      <c r="G105" s="3">
        <v>0</v>
      </c>
      <c r="L105" s="3">
        <f t="shared" si="5"/>
        <v>3.0000000000000001E-3</v>
      </c>
    </row>
    <row r="106" spans="1:16" x14ac:dyDescent="0.4">
      <c r="A106" s="3">
        <v>-0.42900000000000005</v>
      </c>
      <c r="B106" s="3">
        <v>4.7436570497797122E-18</v>
      </c>
      <c r="C106" s="4">
        <f t="shared" si="4"/>
        <v>7.5785208693155806E-19</v>
      </c>
      <c r="D106" s="5">
        <f t="shared" si="3"/>
        <v>7.5785208693155806E-19</v>
      </c>
      <c r="F106" s="3">
        <v>0.10400000000000001</v>
      </c>
      <c r="G106" s="3">
        <v>0</v>
      </c>
      <c r="L106" s="3">
        <f t="shared" si="5"/>
        <v>3.0000000000000001E-3</v>
      </c>
    </row>
    <row r="107" spans="1:16" x14ac:dyDescent="0.4">
      <c r="A107" s="3">
        <v>-0.42800000000000005</v>
      </c>
      <c r="B107" s="3">
        <v>5.643376068815505E-18</v>
      </c>
      <c r="C107" s="4">
        <f t="shared" si="4"/>
        <v>8.9971901903579285E-19</v>
      </c>
      <c r="D107" s="5">
        <f t="shared" si="3"/>
        <v>8.9971901903579285E-19</v>
      </c>
      <c r="F107" s="3">
        <v>0.105</v>
      </c>
      <c r="G107" s="3">
        <v>0</v>
      </c>
      <c r="L107" s="3">
        <f t="shared" si="5"/>
        <v>3.0000000000000001E-3</v>
      </c>
    </row>
    <row r="108" spans="1:16" x14ac:dyDescent="0.4">
      <c r="A108" s="3">
        <v>-0.42700000000000005</v>
      </c>
      <c r="B108" s="3">
        <v>6.7110917945709711E-18</v>
      </c>
      <c r="C108" s="4">
        <f t="shared" si="4"/>
        <v>1.0677157257554661E-18</v>
      </c>
      <c r="D108" s="5">
        <f t="shared" si="3"/>
        <v>1.0677157257554661E-18</v>
      </c>
      <c r="F108" s="3">
        <v>0.106</v>
      </c>
      <c r="G108" s="3">
        <v>0</v>
      </c>
      <c r="L108" s="3">
        <f t="shared" si="5"/>
        <v>3.0000000000000001E-3</v>
      </c>
    </row>
    <row r="109" spans="1:16" x14ac:dyDescent="0.4">
      <c r="A109" s="3">
        <v>-0.42600000000000005</v>
      </c>
      <c r="B109" s="3">
        <v>7.9776660766831979E-18</v>
      </c>
      <c r="C109" s="4">
        <f t="shared" si="4"/>
        <v>1.2665742821122269E-18</v>
      </c>
      <c r="D109" s="5">
        <f t="shared" si="3"/>
        <v>1.2665742821122269E-18</v>
      </c>
      <c r="F109" s="3">
        <v>0.107</v>
      </c>
      <c r="G109" s="3">
        <v>0</v>
      </c>
      <c r="L109" s="3">
        <f t="shared" si="5"/>
        <v>3.0000000000000001E-3</v>
      </c>
    </row>
    <row r="110" spans="1:16" x14ac:dyDescent="0.4">
      <c r="A110" s="3">
        <v>-0.42500000000000004</v>
      </c>
      <c r="B110" s="3">
        <v>9.4795348222032468E-18</v>
      </c>
      <c r="C110" s="4">
        <f t="shared" si="4"/>
        <v>1.5018687455200488E-18</v>
      </c>
      <c r="D110" s="5">
        <f t="shared" si="3"/>
        <v>1.5018687455200488E-18</v>
      </c>
      <c r="F110" s="3">
        <v>0.108</v>
      </c>
      <c r="G110" s="3">
        <v>0</v>
      </c>
      <c r="L110" s="3">
        <f t="shared" si="5"/>
        <v>3.0000000000000001E-3</v>
      </c>
    </row>
    <row r="111" spans="1:16" x14ac:dyDescent="0.4">
      <c r="A111" s="3">
        <v>-0.42400000000000004</v>
      </c>
      <c r="B111" s="3">
        <v>1.1259697049689926E-17</v>
      </c>
      <c r="C111" s="4">
        <f t="shared" si="4"/>
        <v>1.7801622274866797E-18</v>
      </c>
      <c r="D111" s="5">
        <f t="shared" si="3"/>
        <v>1.7801622274866797E-18</v>
      </c>
      <c r="F111" s="3">
        <v>0.109</v>
      </c>
      <c r="G111" s="3">
        <v>0</v>
      </c>
      <c r="L111" s="3">
        <f t="shared" si="5"/>
        <v>3.0000000000000001E-3</v>
      </c>
    </row>
    <row r="112" spans="1:16" x14ac:dyDescent="0.4">
      <c r="A112" s="3">
        <v>-0.42300000000000004</v>
      </c>
      <c r="B112" s="3">
        <v>1.3368876210822369E-17</v>
      </c>
      <c r="C112" s="4">
        <f t="shared" si="4"/>
        <v>2.1091791611324425E-18</v>
      </c>
      <c r="D112" s="5">
        <f t="shared" si="3"/>
        <v>2.1091791611324425E-18</v>
      </c>
      <c r="F112" s="3">
        <v>0.11</v>
      </c>
      <c r="G112" s="3">
        <v>0</v>
      </c>
      <c r="L112" s="3">
        <f t="shared" si="5"/>
        <v>3.0000000000000001E-3</v>
      </c>
    </row>
    <row r="113" spans="1:12" x14ac:dyDescent="0.4">
      <c r="A113" s="3">
        <v>-0.42200000000000004</v>
      </c>
      <c r="B113" s="3">
        <v>1.5866883204482682E-17</v>
      </c>
      <c r="C113" s="4">
        <f t="shared" si="4"/>
        <v>2.4980069936603129E-18</v>
      </c>
      <c r="D113" s="5">
        <f t="shared" si="3"/>
        <v>2.4980069936603129E-18</v>
      </c>
      <c r="F113" s="3">
        <v>0.111</v>
      </c>
      <c r="G113" s="3">
        <v>0</v>
      </c>
      <c r="L113" s="3">
        <f t="shared" si="5"/>
        <v>3.0000000000000001E-3</v>
      </c>
    </row>
    <row r="114" spans="1:12" x14ac:dyDescent="0.4">
      <c r="A114" s="3">
        <v>-0.42100000000000004</v>
      </c>
      <c r="B114" s="3">
        <v>1.8824215432074432E-17</v>
      </c>
      <c r="C114" s="4">
        <f t="shared" si="4"/>
        <v>2.9573322275917501E-18</v>
      </c>
      <c r="D114" s="5">
        <f t="shared" si="3"/>
        <v>2.9573322275917501E-18</v>
      </c>
      <c r="F114" s="3">
        <v>0.112</v>
      </c>
      <c r="G114" s="3">
        <v>0</v>
      </c>
      <c r="L114" s="3">
        <f t="shared" si="5"/>
        <v>3.0000000000000001E-3</v>
      </c>
    </row>
    <row r="115" spans="1:12" x14ac:dyDescent="0.4">
      <c r="A115" s="3">
        <v>-0.42000000000000004</v>
      </c>
      <c r="B115" s="3">
        <v>2.2323931972880316E-17</v>
      </c>
      <c r="C115" s="4">
        <f t="shared" si="4"/>
        <v>3.4997165408058845E-18</v>
      </c>
      <c r="D115" s="5">
        <f t="shared" si="3"/>
        <v>3.4997165408058845E-18</v>
      </c>
      <c r="F115" s="3">
        <v>0.113</v>
      </c>
      <c r="G115" s="3">
        <v>0</v>
      </c>
      <c r="L115" s="3">
        <f t="shared" si="5"/>
        <v>3.0000000000000001E-3</v>
      </c>
    </row>
    <row r="116" spans="1:12" x14ac:dyDescent="0.4">
      <c r="A116" s="3">
        <v>-0.41900000000000004</v>
      </c>
      <c r="B116" s="3">
        <v>2.6463851623481184E-17</v>
      </c>
      <c r="C116" s="4">
        <f t="shared" si="4"/>
        <v>4.139919650600868E-18</v>
      </c>
      <c r="D116" s="5">
        <f t="shared" si="3"/>
        <v>4.139919650600868E-18</v>
      </c>
      <c r="F116" s="3">
        <v>0.114</v>
      </c>
      <c r="G116" s="3">
        <v>0</v>
      </c>
      <c r="L116" s="3">
        <f t="shared" si="5"/>
        <v>3.0000000000000001E-3</v>
      </c>
    </row>
    <row r="117" spans="1:12" x14ac:dyDescent="0.4">
      <c r="A117" s="3">
        <v>-0.41800000000000004</v>
      </c>
      <c r="B117" s="3">
        <v>3.1359128294842698E-17</v>
      </c>
      <c r="C117" s="4">
        <f t="shared" si="4"/>
        <v>4.8952766713615138E-18</v>
      </c>
      <c r="D117" s="5">
        <f t="shared" si="3"/>
        <v>4.8952766713615138E-18</v>
      </c>
      <c r="F117" s="3">
        <v>0.115</v>
      </c>
      <c r="G117" s="3">
        <v>0</v>
      </c>
      <c r="L117" s="3">
        <f t="shared" si="5"/>
        <v>3.0000000000000001E-3</v>
      </c>
    </row>
    <row r="118" spans="1:12" x14ac:dyDescent="0.4">
      <c r="A118" s="3">
        <v>-0.41700000000000004</v>
      </c>
      <c r="B118" s="3">
        <v>3.7145267266886843E-17</v>
      </c>
      <c r="C118" s="4">
        <f t="shared" si="4"/>
        <v>5.7861389720441452E-18</v>
      </c>
      <c r="D118" s="5">
        <f t="shared" si="3"/>
        <v>5.7861389720441452E-18</v>
      </c>
      <c r="F118" s="3">
        <v>0.11600000000000001</v>
      </c>
      <c r="G118" s="3">
        <v>0</v>
      </c>
      <c r="L118" s="3">
        <f t="shared" si="5"/>
        <v>3.0000000000000001E-3</v>
      </c>
    </row>
    <row r="119" spans="1:12" x14ac:dyDescent="0.4">
      <c r="A119" s="3">
        <v>-0.41600000000000004</v>
      </c>
      <c r="B119" s="3">
        <v>4.3981656262323418E-17</v>
      </c>
      <c r="C119" s="4">
        <f t="shared" si="4"/>
        <v>6.8363889954365745E-18</v>
      </c>
      <c r="D119" s="5">
        <f t="shared" si="3"/>
        <v>6.8363889954365745E-18</v>
      </c>
      <c r="F119" s="3">
        <v>0.11700000000000001</v>
      </c>
      <c r="G119" s="3">
        <v>0</v>
      </c>
      <c r="L119" s="3">
        <f t="shared" si="5"/>
        <v>3.0000000000000001E-3</v>
      </c>
    </row>
    <row r="120" spans="1:12" x14ac:dyDescent="0.4">
      <c r="A120" s="3">
        <v>-0.41500000000000004</v>
      </c>
      <c r="B120" s="3">
        <v>5.2055697448902459E-17</v>
      </c>
      <c r="C120" s="4">
        <f t="shared" si="4"/>
        <v>8.0740411865790413E-18</v>
      </c>
      <c r="D120" s="5">
        <f t="shared" si="3"/>
        <v>8.0740411865790413E-18</v>
      </c>
      <c r="F120" s="3">
        <v>0.11800000000000001</v>
      </c>
      <c r="G120" s="3">
        <v>0</v>
      </c>
      <c r="L120" s="3">
        <f t="shared" si="5"/>
        <v>3.0000000000000001E-3</v>
      </c>
    </row>
    <row r="121" spans="1:12" x14ac:dyDescent="0.4">
      <c r="A121" s="3">
        <v>-0.41400000000000003</v>
      </c>
      <c r="B121" s="3">
        <v>6.1587640577329369E-17</v>
      </c>
      <c r="C121" s="4">
        <f t="shared" si="4"/>
        <v>9.5319431284269097E-18</v>
      </c>
      <c r="D121" s="5">
        <f t="shared" si="3"/>
        <v>9.5319431284269097E-18</v>
      </c>
      <c r="F121" s="3">
        <v>0.11900000000000001</v>
      </c>
      <c r="G121" s="3">
        <v>0</v>
      </c>
      <c r="L121" s="3">
        <f t="shared" si="5"/>
        <v>3.0000000000000001E-3</v>
      </c>
    </row>
    <row r="122" spans="1:12" x14ac:dyDescent="0.4">
      <c r="A122" s="3">
        <v>-0.41300000000000003</v>
      </c>
      <c r="B122" s="3">
        <v>7.2836233816554954E-17</v>
      </c>
      <c r="C122" s="4">
        <f t="shared" si="4"/>
        <v>1.1248593239225585E-17</v>
      </c>
      <c r="D122" s="5">
        <f t="shared" si="3"/>
        <v>1.1248593239225585E-17</v>
      </c>
      <c r="F122" s="3">
        <v>0.12</v>
      </c>
      <c r="G122" s="3">
        <v>0</v>
      </c>
      <c r="L122" s="3">
        <f t="shared" si="5"/>
        <v>3.0000000000000001E-3</v>
      </c>
    </row>
    <row r="123" spans="1:12" x14ac:dyDescent="0.4">
      <c r="A123" s="3">
        <v>-0.41200000000000003</v>
      </c>
      <c r="B123" s="3">
        <v>8.6105327811628406E-17</v>
      </c>
      <c r="C123" s="4">
        <f t="shared" si="4"/>
        <v>1.3269093995073452E-17</v>
      </c>
      <c r="D123" s="5">
        <f t="shared" si="3"/>
        <v>1.3269093995073452E-17</v>
      </c>
      <c r="F123" s="3">
        <v>0.121</v>
      </c>
      <c r="G123" s="3">
        <v>0</v>
      </c>
      <c r="L123" s="3">
        <f t="shared" si="5"/>
        <v>3.0000000000000001E-3</v>
      </c>
    </row>
    <row r="124" spans="1:12" x14ac:dyDescent="0.4">
      <c r="A124" s="3">
        <v>-0.41100000000000003</v>
      </c>
      <c r="B124" s="3">
        <v>1.0175159046794488E-16</v>
      </c>
      <c r="C124" s="4">
        <f t="shared" si="4"/>
        <v>1.5646262656316474E-17</v>
      </c>
      <c r="D124" s="5">
        <f t="shared" si="3"/>
        <v>1.5646262656316474E-17</v>
      </c>
      <c r="F124" s="3">
        <v>0.122</v>
      </c>
      <c r="G124" s="3">
        <v>0</v>
      </c>
      <c r="L124" s="3">
        <f t="shared" si="5"/>
        <v>3.0000000000000001E-3</v>
      </c>
    </row>
    <row r="125" spans="1:12" x14ac:dyDescent="0.4">
      <c r="A125" s="3">
        <v>-0.41000000000000003</v>
      </c>
      <c r="B125" s="3">
        <v>1.2019351542735733E-16</v>
      </c>
      <c r="C125" s="4">
        <f t="shared" si="4"/>
        <v>1.8441924959412449E-17</v>
      </c>
      <c r="D125" s="5">
        <f t="shared" si="3"/>
        <v>1.8441924959412449E-17</v>
      </c>
      <c r="F125" s="3">
        <v>0.123</v>
      </c>
      <c r="G125" s="3">
        <v>0</v>
      </c>
      <c r="L125" s="3">
        <f t="shared" si="5"/>
        <v>3.0000000000000001E-3</v>
      </c>
    </row>
    <row r="126" spans="1:12" x14ac:dyDescent="0.4">
      <c r="A126" s="3">
        <v>-0.40900000000000003</v>
      </c>
      <c r="B126" s="3">
        <v>1.4192193668483605E-16</v>
      </c>
      <c r="C126" s="4">
        <f t="shared" si="4"/>
        <v>2.172842125747872E-17</v>
      </c>
      <c r="D126" s="5">
        <f t="shared" si="3"/>
        <v>2.172842125747872E-17</v>
      </c>
      <c r="F126" s="3">
        <v>0.124</v>
      </c>
      <c r="G126" s="3">
        <v>0</v>
      </c>
      <c r="L126" s="3">
        <f t="shared" si="5"/>
        <v>3.0000000000000001E-3</v>
      </c>
    </row>
    <row r="127" spans="1:12" x14ac:dyDescent="0.4">
      <c r="A127" s="3">
        <v>-0.40800000000000003</v>
      </c>
      <c r="B127" s="3">
        <v>1.6751229591869116E-16</v>
      </c>
      <c r="C127" s="4">
        <f t="shared" si="4"/>
        <v>2.5590359233855106E-17</v>
      </c>
      <c r="D127" s="5">
        <f t="shared" si="3"/>
        <v>2.5590359233855106E-17</v>
      </c>
      <c r="F127" s="3">
        <v>0.125</v>
      </c>
      <c r="G127" s="3">
        <v>0</v>
      </c>
      <c r="L127" s="3">
        <f t="shared" si="5"/>
        <v>3.0000000000000001E-3</v>
      </c>
    </row>
    <row r="128" spans="1:12" x14ac:dyDescent="0.4">
      <c r="A128" s="3">
        <v>-0.40700000000000003</v>
      </c>
      <c r="B128" s="3">
        <v>1.9763894858549971E-16</v>
      </c>
      <c r="C128" s="4">
        <f t="shared" si="4"/>
        <v>3.0126652666808553E-17</v>
      </c>
      <c r="D128" s="5">
        <f t="shared" si="3"/>
        <v>3.0126652666808553E-17</v>
      </c>
      <c r="F128" s="3">
        <v>0.126</v>
      </c>
      <c r="G128" s="3">
        <v>0</v>
      </c>
      <c r="L128" s="3">
        <f t="shared" si="5"/>
        <v>3.0000000000000001E-3</v>
      </c>
    </row>
    <row r="129" spans="1:12" x14ac:dyDescent="0.4">
      <c r="A129" s="3">
        <v>-0.40600000000000003</v>
      </c>
      <c r="B129" s="3">
        <v>2.3309184048183089E-16</v>
      </c>
      <c r="C129" s="4">
        <f t="shared" si="4"/>
        <v>3.545289189633118E-17</v>
      </c>
      <c r="D129" s="5">
        <f t="shared" si="3"/>
        <v>3.545289189633118E-17</v>
      </c>
      <c r="F129" s="3">
        <v>0.127</v>
      </c>
      <c r="G129" s="3">
        <v>0</v>
      </c>
      <c r="L129" s="3">
        <f t="shared" si="5"/>
        <v>3.0000000000000001E-3</v>
      </c>
    </row>
    <row r="130" spans="1:12" x14ac:dyDescent="0.4">
      <c r="A130" s="3">
        <v>-0.40500000000000003</v>
      </c>
      <c r="B130" s="3">
        <v>2.7479593923982202E-16</v>
      </c>
      <c r="C130" s="4">
        <f t="shared" si="4"/>
        <v>4.170409875799113E-17</v>
      </c>
      <c r="D130" s="5">
        <f t="shared" ref="D130:D193" si="6">C130</f>
        <v>4.170409875799113E-17</v>
      </c>
      <c r="F130" s="3">
        <v>0.128</v>
      </c>
      <c r="G130" s="3">
        <v>0</v>
      </c>
      <c r="L130" s="3">
        <f t="shared" si="5"/>
        <v>3.0000000000000001E-3</v>
      </c>
    </row>
    <row r="131" spans="1:12" x14ac:dyDescent="0.4">
      <c r="A131" s="3">
        <v>-0.40400000000000003</v>
      </c>
      <c r="B131" s="3">
        <v>3.238338661832262E-16</v>
      </c>
      <c r="C131" s="4">
        <f t="shared" ref="C131:C194" si="7">B131-B130</f>
        <v>4.9037926943404183E-17</v>
      </c>
      <c r="D131" s="5">
        <f t="shared" si="6"/>
        <v>4.9037926943404183E-17</v>
      </c>
      <c r="F131" s="3">
        <v>0.129</v>
      </c>
      <c r="G131" s="3">
        <v>4.012832501977984</v>
      </c>
      <c r="H131" s="3" cm="1">
        <f t="array" ref="H131">SUM((_xlfn.NORM.DIST((F2:F130-F131),0,L131,TRUE)-_xlfn.NORM.DIST((F2:F130-F131-0.001),0,L131,TRUE))*(G2:G130+G132:G260))+G131*_xlfn.NORM.DIST(0,0,L131,TRUE)*2</f>
        <v>5.0718876890242521</v>
      </c>
      <c r="L131" s="3">
        <f t="shared" si="5"/>
        <v>3.0000000000000001E-3</v>
      </c>
    </row>
    <row r="132" spans="1:12" x14ac:dyDescent="0.4">
      <c r="A132" s="3">
        <v>-0.40300000000000002</v>
      </c>
      <c r="B132" s="3">
        <v>3.8147224436527843E-16</v>
      </c>
      <c r="C132" s="4">
        <f t="shared" si="7"/>
        <v>5.7638378182052227E-17</v>
      </c>
      <c r="D132" s="5">
        <f t="shared" si="6"/>
        <v>5.7638378182052227E-17</v>
      </c>
      <c r="F132" s="3">
        <v>0.13</v>
      </c>
      <c r="G132" s="3">
        <v>4.012832502594109</v>
      </c>
      <c r="H132" s="3" cm="1">
        <f t="array" ref="H132">SUM((_xlfn.NORM.DIST((F3:F131-F132),0,L132,TRUE)-_xlfn.NORM.DIST((F3:F131-F132-0.001),0,L132,TRUE))*(G3:G131+G133:G261))+G132*_xlfn.NORM.DIST(0,0,L132,TRUE)*2</f>
        <v>5.5356914821246335</v>
      </c>
      <c r="L132" s="3">
        <f t="shared" ref="L132:L195" si="8">L131</f>
        <v>3.0000000000000001E-3</v>
      </c>
    </row>
    <row r="133" spans="1:12" x14ac:dyDescent="0.4">
      <c r="A133" s="3">
        <v>-0.40200000000000002</v>
      </c>
      <c r="B133" s="3">
        <v>4.4919235986269065E-16</v>
      </c>
      <c r="C133" s="4">
        <f t="shared" si="7"/>
        <v>6.7720115497412224E-17</v>
      </c>
      <c r="D133" s="5">
        <f t="shared" si="6"/>
        <v>6.7720115497412224E-17</v>
      </c>
      <c r="F133" s="3">
        <v>0.13100000000000001</v>
      </c>
      <c r="G133" s="3">
        <v>4.0128325025293892</v>
      </c>
      <c r="H133" s="3" cm="1">
        <f t="array" ref="H133">SUM((_xlfn.NORM.DIST((F4:F132-F133),0,L133,TRUE)-_xlfn.NORM.DIST((F4:F132-F133-0.001),0,L133,TRUE))*(G4:G132+G134:G262))+G133*_xlfn.NORM.DIST(0,0,L133,TRUE)*2</f>
        <v>5.9069382707076166</v>
      </c>
      <c r="L133" s="3">
        <f t="shared" si="8"/>
        <v>3.0000000000000001E-3</v>
      </c>
    </row>
    <row r="134" spans="1:12" x14ac:dyDescent="0.4">
      <c r="A134" s="3">
        <v>-0.40100000000000002</v>
      </c>
      <c r="B134" s="3">
        <v>5.2872582714311753E-16</v>
      </c>
      <c r="C134" s="4">
        <f t="shared" si="7"/>
        <v>7.9533467280426877E-17</v>
      </c>
      <c r="D134" s="5">
        <f t="shared" si="6"/>
        <v>7.9533467280426877E-17</v>
      </c>
      <c r="F134" s="3">
        <v>0.13200000000000001</v>
      </c>
      <c r="G134" s="3">
        <v>4.012832502391289</v>
      </c>
      <c r="H134" s="3" cm="1">
        <f t="array" ref="H134">SUM((_xlfn.NORM.DIST((F5:F133-F134),0,L134,TRUE)-_xlfn.NORM.DIST((F5:F133-F134-0.001),0,L134,TRUE))*(G5:G133+G135:G263))+G134*_xlfn.NORM.DIST(0,0,L134,TRUE)*2</f>
        <v>6.1724497563445198</v>
      </c>
      <c r="L134" s="3">
        <f t="shared" si="8"/>
        <v>3.0000000000000001E-3</v>
      </c>
    </row>
    <row r="135" spans="1:12" x14ac:dyDescent="0.4">
      <c r="A135" s="3">
        <v>-0.4</v>
      </c>
      <c r="B135" s="3">
        <v>6.2209605742717375E-16</v>
      </c>
      <c r="C135" s="4">
        <f t="shared" si="7"/>
        <v>9.3370230284056224E-17</v>
      </c>
      <c r="D135" s="5">
        <f t="shared" si="6"/>
        <v>9.3370230284056224E-17</v>
      </c>
      <c r="F135" s="3">
        <v>0.13300000000000001</v>
      </c>
      <c r="G135" s="3">
        <v>4.0128325024916007</v>
      </c>
      <c r="H135" s="3" cm="1">
        <f t="array" ref="H135">SUM((_xlfn.NORM.DIST((F6:F134-F135),0,L135,TRUE)-_xlfn.NORM.DIST((F6:F134-F135-0.001),0,L135,TRUE))*(G6:G134+G136:G264))+G135*_xlfn.NORM.DIST(0,0,L135,TRUE)*2</f>
        <v>6.3417280263518876</v>
      </c>
      <c r="L135" s="3">
        <f t="shared" si="8"/>
        <v>3.0000000000000001E-3</v>
      </c>
    </row>
    <row r="136" spans="1:12" x14ac:dyDescent="0.4">
      <c r="A136" s="3">
        <v>-0.39900000000000002</v>
      </c>
      <c r="B136" s="3">
        <v>7.3166645357248417E-16</v>
      </c>
      <c r="C136" s="4">
        <f t="shared" si="7"/>
        <v>1.0957039614531042E-16</v>
      </c>
      <c r="D136" s="5">
        <f t="shared" si="6"/>
        <v>1.0957039614531042E-16</v>
      </c>
      <c r="F136" s="3">
        <v>0.13400000000000001</v>
      </c>
      <c r="G136" s="3">
        <v>4.0128325024087887</v>
      </c>
      <c r="H136" s="3" cm="1">
        <f t="array" ref="H136">SUM((_xlfn.NORM.DIST((F7:F135-F136),0,L136,TRUE)-_xlfn.NORM.DIST((F7:F135-F136-0.001),0,L136,TRUE))*(G7:G135+G137:G265))+G136*_xlfn.NORM.DIST(0,0,L136,TRUE)*2</f>
        <v>6.4374074667089021</v>
      </c>
      <c r="L136" s="3">
        <f t="shared" si="8"/>
        <v>3.0000000000000001E-3</v>
      </c>
    </row>
    <row r="137" spans="1:12" x14ac:dyDescent="0.4">
      <c r="A137" s="3">
        <v>-0.39800000000000002</v>
      </c>
      <c r="B137" s="3">
        <v>8.6019639857077614E-16</v>
      </c>
      <c r="C137" s="4">
        <f t="shared" si="7"/>
        <v>1.2852994499829197E-16</v>
      </c>
      <c r="D137" s="5">
        <f t="shared" si="6"/>
        <v>1.2852994499829197E-16</v>
      </c>
      <c r="F137" s="3">
        <v>0.13500000000000001</v>
      </c>
      <c r="G137" s="3">
        <v>4.0128325024749367</v>
      </c>
      <c r="H137" s="3" cm="1">
        <f t="array" ref="H137">SUM((_xlfn.NORM.DIST((F8:F136-F137),0,L137,TRUE)-_xlfn.NORM.DIST((F8:F136-F137-0.001),0,L137,TRUE))*(G8:G136+G138:G266))+G137*_xlfn.NORM.DIST(0,0,L137,TRUE)*2</f>
        <v>6.4846619390170446</v>
      </c>
      <c r="L137" s="3">
        <f t="shared" si="8"/>
        <v>3.0000000000000001E-3</v>
      </c>
    </row>
    <row r="138" spans="1:12" x14ac:dyDescent="0.4">
      <c r="A138" s="3">
        <v>-0.39700000000000002</v>
      </c>
      <c r="B138" s="3">
        <v>1.0109062700763252E-15</v>
      </c>
      <c r="C138" s="4">
        <f t="shared" si="7"/>
        <v>1.5070987150554909E-16</v>
      </c>
      <c r="D138" s="5">
        <f t="shared" si="6"/>
        <v>1.5070987150554909E-16</v>
      </c>
      <c r="F138" s="3">
        <v>0.13600000000000001</v>
      </c>
      <c r="G138" s="3">
        <v>4.0128325025231701</v>
      </c>
      <c r="H138" s="3" cm="1">
        <f t="array" ref="H138">SUM((_xlfn.NORM.DIST((F9:F137-F138),0,L138,TRUE)-_xlfn.NORM.DIST((F9:F137-F138-0.001),0,L138,TRUE))*(G9:G137+G139:G267))+G138*_xlfn.NORM.DIST(0,0,L138,TRUE)*2</f>
        <v>6.504172736318802</v>
      </c>
      <c r="L138" s="3">
        <f t="shared" si="8"/>
        <v>3.0000000000000001E-3</v>
      </c>
    </row>
    <row r="139" spans="1:12" x14ac:dyDescent="0.4">
      <c r="A139" s="3">
        <v>-0.39600000000000002</v>
      </c>
      <c r="B139" s="3">
        <v>1.1875529036880496E-15</v>
      </c>
      <c r="C139" s="4">
        <f t="shared" si="7"/>
        <v>1.7664663361172435E-16</v>
      </c>
      <c r="D139" s="5">
        <f t="shared" si="6"/>
        <v>1.7664663361172435E-16</v>
      </c>
      <c r="F139" s="3">
        <v>0.13700000000000001</v>
      </c>
      <c r="G139" s="3">
        <v>4.0128325024662228</v>
      </c>
      <c r="H139" s="3" cm="1">
        <f t="array" ref="H139">SUM((_xlfn.NORM.DIST((F10:F138-F139),0,L139,TRUE)-_xlfn.NORM.DIST((F10:F138-F139-0.001),0,L139,TRUE))*(G10:G138+G140:G268))+G139*_xlfn.NORM.DIST(0,0,L139,TRUE)*2</f>
        <v>6.5097589550141839</v>
      </c>
      <c r="L139" s="3">
        <f t="shared" si="8"/>
        <v>3.0000000000000001E-3</v>
      </c>
    </row>
    <row r="140" spans="1:12" x14ac:dyDescent="0.4">
      <c r="A140" s="3">
        <v>-0.39500000000000002</v>
      </c>
      <c r="B140" s="3">
        <v>1.3945171466592604E-15</v>
      </c>
      <c r="C140" s="4">
        <f t="shared" si="7"/>
        <v>2.0696424297121082E-16</v>
      </c>
      <c r="D140" s="5">
        <f t="shared" si="6"/>
        <v>2.0696424297121082E-16</v>
      </c>
      <c r="F140" s="3">
        <v>0.13800000000000001</v>
      </c>
      <c r="G140" s="3">
        <v>4.0128325025051055</v>
      </c>
      <c r="H140" s="3" cm="1">
        <f t="array" ref="H140">SUM((_xlfn.NORM.DIST((F11:F139-F140),0,L140,TRUE)-_xlfn.NORM.DIST((F11:F139-F140-0.001),0,L140,TRUE))*(G11:G139+G141:G269))+G140*_xlfn.NORM.DIST(0,0,L140,TRUE)*2</f>
        <v>6.5092185635832331</v>
      </c>
      <c r="L140" s="3">
        <f t="shared" si="8"/>
        <v>3.0000000000000001E-3</v>
      </c>
    </row>
    <row r="141" spans="1:12" x14ac:dyDescent="0.4">
      <c r="A141" s="3">
        <v>-0.39400000000000002</v>
      </c>
      <c r="B141" s="3">
        <v>1.6369053955067785E-15</v>
      </c>
      <c r="C141" s="4">
        <f t="shared" si="7"/>
        <v>2.423882488475181E-16</v>
      </c>
      <c r="D141" s="5">
        <f t="shared" si="6"/>
        <v>2.423882488475181E-16</v>
      </c>
      <c r="F141" s="3">
        <v>0.13900000000000001</v>
      </c>
      <c r="G141" s="3">
        <v>4.0128325024988145</v>
      </c>
      <c r="H141" s="3" cm="1">
        <f t="array" ref="H141">SUM((_xlfn.NORM.DIST((F12:F140-F141),0,L141,TRUE)-_xlfn.NORM.DIST((F12:F140-F141-0.001),0,L141,TRUE))*(G12:G140+G142:G270))+G141*_xlfn.NORM.DIST(0,0,L141,TRUE)*2</f>
        <v>6.506337795487382</v>
      </c>
      <c r="L141" s="3">
        <f t="shared" si="8"/>
        <v>3.0000000000000001E-3</v>
      </c>
    </row>
    <row r="142" spans="1:12" x14ac:dyDescent="0.4">
      <c r="A142" s="3">
        <v>-0.39300000000000002</v>
      </c>
      <c r="B142" s="3">
        <v>1.9206673004260675E-15</v>
      </c>
      <c r="C142" s="4">
        <f t="shared" si="7"/>
        <v>2.8376190491928903E-16</v>
      </c>
      <c r="D142" s="5">
        <f t="shared" si="6"/>
        <v>2.8376190491928903E-16</v>
      </c>
      <c r="F142" s="3">
        <v>0.14000000000000001</v>
      </c>
      <c r="G142" s="3">
        <v>4.0128325024590126</v>
      </c>
      <c r="H142" s="3" cm="1">
        <f t="array" ref="H142">SUM((_xlfn.NORM.DIST((F13:F141-F142),0,L142,TRUE)-_xlfn.NORM.DIST((F13:F141-F142-0.001),0,L142,TRUE))*(G13:G141+G143:G271))+G142*_xlfn.NORM.DIST(0,0,L142,TRUE)*2</f>
        <v>6.5027148079809791</v>
      </c>
      <c r="L142" s="3">
        <f t="shared" si="8"/>
        <v>3.0000000000000001E-3</v>
      </c>
    </row>
    <row r="143" spans="1:12" x14ac:dyDescent="0.4">
      <c r="A143" s="3">
        <v>-0.39200000000000002</v>
      </c>
      <c r="B143" s="3">
        <v>2.2527321519661315E-15</v>
      </c>
      <c r="C143" s="4">
        <f t="shared" si="7"/>
        <v>3.3206485154006399E-16</v>
      </c>
      <c r="D143" s="5">
        <f t="shared" si="6"/>
        <v>3.3206485154006399E-16</v>
      </c>
      <c r="F143" s="3">
        <v>0.14100000000000001</v>
      </c>
      <c r="G143" s="3">
        <v>4.0128325024903733</v>
      </c>
      <c r="H143" s="3" cm="1">
        <f t="array" ref="H143">SUM((_xlfn.NORM.DIST((F14:F142-F143),0,L143,TRUE)-_xlfn.NORM.DIST((F14:F142-F143-0.001),0,L143,TRUE))*(G14:G142+G144:G272))+G143*_xlfn.NORM.DIST(0,0,L143,TRUE)*2</f>
        <v>6.49893879823059</v>
      </c>
      <c r="L143" s="3">
        <f t="shared" si="8"/>
        <v>3.0000000000000001E-3</v>
      </c>
    </row>
    <row r="144" spans="1:12" x14ac:dyDescent="0.4">
      <c r="A144" s="3">
        <v>-0.39100000000000001</v>
      </c>
      <c r="B144" s="3">
        <v>2.6411668473189364E-15</v>
      </c>
      <c r="C144" s="4">
        <f t="shared" si="7"/>
        <v>3.8843469535280485E-16</v>
      </c>
      <c r="D144" s="5">
        <f t="shared" si="6"/>
        <v>3.8843469535280485E-16</v>
      </c>
      <c r="F144" s="3">
        <v>0.14200000000000002</v>
      </c>
      <c r="G144" s="3">
        <v>4.0128325024571492</v>
      </c>
      <c r="H144" s="3" cm="1">
        <f t="array" ref="H144">SUM((_xlfn.NORM.DIST((F15:F143-F144),0,L144,TRUE)-_xlfn.NORM.DIST((F15:F143-F144-0.001),0,L144,TRUE))*(G15:G143+G145:G273))+G144*_xlfn.NORM.DIST(0,0,L144,TRUE)*2</f>
        <v>6.4951988645447276</v>
      </c>
      <c r="L144" s="3">
        <f t="shared" si="8"/>
        <v>3.0000000000000001E-3</v>
      </c>
    </row>
    <row r="145" spans="1:12" x14ac:dyDescent="0.4">
      <c r="A145" s="3">
        <v>-0.39</v>
      </c>
      <c r="B145" s="3">
        <v>3.0953587719586676E-15</v>
      </c>
      <c r="C145" s="4">
        <f t="shared" si="7"/>
        <v>4.5419192463973121E-16</v>
      </c>
      <c r="D145" s="5">
        <f t="shared" si="6"/>
        <v>4.5419192463973121E-16</v>
      </c>
      <c r="F145" s="3">
        <v>0.14300000000000002</v>
      </c>
      <c r="G145" s="3">
        <v>4.012832502483147</v>
      </c>
      <c r="H145" s="3" cm="1">
        <f t="array" ref="H145">SUM((_xlfn.NORM.DIST((F16:F144-F145),0,L145,TRUE)-_xlfn.NORM.DIST((F16:F144-F145-0.001),0,L145,TRUE))*(G16:G144+G146:G274))+G145*_xlfn.NORM.DIST(0,0,L145,TRUE)*2</f>
        <v>6.4915463169277912</v>
      </c>
      <c r="L145" s="3">
        <f t="shared" si="8"/>
        <v>3.0000000000000001E-3</v>
      </c>
    </row>
    <row r="146" spans="1:12" x14ac:dyDescent="0.4">
      <c r="A146" s="3">
        <v>-0.38900000000000001</v>
      </c>
      <c r="B146" s="3">
        <v>3.6262274353410059E-15</v>
      </c>
      <c r="C146" s="4">
        <f t="shared" si="7"/>
        <v>5.3086866338233829E-16</v>
      </c>
      <c r="D146" s="5">
        <f t="shared" si="6"/>
        <v>5.3086866338233829E-16</v>
      </c>
      <c r="F146" s="3">
        <v>0.14400000000000002</v>
      </c>
      <c r="G146" s="3">
        <v>4.0128325025047076</v>
      </c>
      <c r="H146" s="3" cm="1">
        <f t="array" ref="H146">SUM((_xlfn.NORM.DIST((F17:F145-F146),0,L146,TRUE)-_xlfn.NORM.DIST((F17:F145-F146-0.001),0,L146,TRUE))*(G17:G145+G147:G275))+G146*_xlfn.NORM.DIST(0,0,L146,TRUE)*2</f>
        <v>6.487991058481656</v>
      </c>
      <c r="L146" s="3">
        <f t="shared" si="8"/>
        <v>3.0000000000000001E-3</v>
      </c>
    </row>
    <row r="147" spans="1:12" x14ac:dyDescent="0.4">
      <c r="A147" s="3">
        <v>-0.38800000000000001</v>
      </c>
      <c r="B147" s="3">
        <v>4.2464692761969251E-15</v>
      </c>
      <c r="C147" s="4">
        <f t="shared" si="7"/>
        <v>6.2024184085591927E-16</v>
      </c>
      <c r="D147" s="5">
        <f t="shared" si="6"/>
        <v>6.2024184085591927E-16</v>
      </c>
      <c r="F147" s="3">
        <v>0.14499999999999999</v>
      </c>
      <c r="G147" s="3">
        <v>4.0128325024766927</v>
      </c>
      <c r="H147" s="3" cm="1">
        <f t="array" ref="H147">SUM((_xlfn.NORM.DIST((F18:F146-F147),0,L147,TRUE)-_xlfn.NORM.DIST((F18:F146-F147-0.001),0,L147,TRUE))*(G18:G146+G148:G276))+G147*_xlfn.NORM.DIST(0,0,L147,TRUE)*2</f>
        <v>6.4845321764401893</v>
      </c>
      <c r="L147" s="3">
        <f t="shared" si="8"/>
        <v>3.0000000000000001E-3</v>
      </c>
    </row>
    <row r="148" spans="1:12" x14ac:dyDescent="0.4">
      <c r="A148" s="3">
        <v>-0.38700000000000001</v>
      </c>
      <c r="B148" s="3">
        <v>4.9708407141619079E-15</v>
      </c>
      <c r="C148" s="4">
        <f t="shared" si="7"/>
        <v>7.2437143796498273E-16</v>
      </c>
      <c r="D148" s="5">
        <f t="shared" si="6"/>
        <v>7.2437143796498273E-16</v>
      </c>
      <c r="F148" s="3">
        <v>0.14599999999999999</v>
      </c>
      <c r="G148" s="3">
        <v>4.012832502474569</v>
      </c>
      <c r="H148" s="3" cm="1">
        <f t="array" ref="H148">SUM((_xlfn.NORM.DIST((F19:F147-F148),0,L148,TRUE)-_xlfn.NORM.DIST((F19:F147-F148-0.001),0,L148,TRUE))*(G19:G147+G149:G277))+G148*_xlfn.NORM.DIST(0,0,L148,TRUE)*2</f>
        <v>6.4811663934754975</v>
      </c>
      <c r="L148" s="3">
        <f t="shared" si="8"/>
        <v>3.0000000000000001E-3</v>
      </c>
    </row>
    <row r="149" spans="1:12" x14ac:dyDescent="0.4">
      <c r="A149" s="3">
        <v>-0.38600000000000001</v>
      </c>
      <c r="B149" s="3">
        <v>5.8164852820615452E-15</v>
      </c>
      <c r="C149" s="4">
        <f t="shared" si="7"/>
        <v>8.4564456789963737E-16</v>
      </c>
      <c r="D149" s="5">
        <f t="shared" si="6"/>
        <v>8.4564456789963737E-16</v>
      </c>
      <c r="F149" s="3">
        <v>0.14699999999999999</v>
      </c>
      <c r="G149" s="3">
        <v>4.0128325024939633</v>
      </c>
      <c r="H149" s="3" cm="1">
        <f t="array" ref="H149">SUM((_xlfn.NORM.DIST((F20:F148-F149),0,L149,TRUE)-_xlfn.NORM.DIST((F20:F148-F149-0.001),0,L149,TRUE))*(G20:G148+G150:G278))+G149*_xlfn.NORM.DIST(0,0,L149,TRUE)*2</f>
        <v>6.4778901051846596</v>
      </c>
      <c r="L149" s="3">
        <f t="shared" si="8"/>
        <v>3.0000000000000001E-3</v>
      </c>
    </row>
    <row r="150" spans="1:12" x14ac:dyDescent="0.4">
      <c r="A150" s="3">
        <v>-0.38500000000000001</v>
      </c>
      <c r="B150" s="3">
        <v>6.8033115407738988E-15</v>
      </c>
      <c r="C150" s="4">
        <f t="shared" si="7"/>
        <v>9.8682625871235357E-16</v>
      </c>
      <c r="D150" s="5">
        <f t="shared" si="6"/>
        <v>9.8682625871235357E-16</v>
      </c>
      <c r="F150" s="3">
        <v>0.14799999999999999</v>
      </c>
      <c r="G150" s="3">
        <v>4.0128325024716771</v>
      </c>
      <c r="H150" s="3" cm="1">
        <f t="array" ref="H150">SUM((_xlfn.NORM.DIST((F21:F149-F150),0,L150,TRUE)-_xlfn.NORM.DIST((F21:F149-F150-0.001),0,L150,TRUE))*(G21:G149+G151:G279))+G150*_xlfn.NORM.DIST(0,0,L150,TRUE)*2</f>
        <v>6.474699804176371</v>
      </c>
      <c r="L150" s="3">
        <f t="shared" si="8"/>
        <v>3.0000000000000001E-3</v>
      </c>
    </row>
    <row r="151" spans="1:12" x14ac:dyDescent="0.4">
      <c r="A151" s="3">
        <v>-0.38400000000000001</v>
      </c>
      <c r="B151" s="3">
        <v>7.9544294717214565E-15</v>
      </c>
      <c r="C151" s="4">
        <f t="shared" si="7"/>
        <v>1.1511179309475577E-15</v>
      </c>
      <c r="D151" s="5">
        <f t="shared" si="6"/>
        <v>1.1511179309475577E-15</v>
      </c>
      <c r="F151" s="3">
        <v>0.14899999999999999</v>
      </c>
      <c r="G151" s="3">
        <v>4.0128325024893101</v>
      </c>
      <c r="H151" s="3" cm="1">
        <f t="array" ref="H151">SUM((_xlfn.NORM.DIST((F22:F150-F151),0,L151,TRUE)-_xlfn.NORM.DIST((F22:F150-F151-0.001),0,L151,TRUE))*(G22:G150+G152:G280))+G151*_xlfn.NORM.DIST(0,0,L151,TRUE)*2</f>
        <v>6.4715921500163445</v>
      </c>
      <c r="L151" s="3">
        <f t="shared" si="8"/>
        <v>3.0000000000000001E-3</v>
      </c>
    </row>
    <row r="152" spans="1:12" x14ac:dyDescent="0.4">
      <c r="A152" s="3">
        <v>-0.38300000000000001</v>
      </c>
      <c r="B152" s="3">
        <v>9.296654178339855E-15</v>
      </c>
      <c r="C152" s="4">
        <f t="shared" si="7"/>
        <v>1.3422247066183985E-15</v>
      </c>
      <c r="D152" s="5">
        <f t="shared" si="6"/>
        <v>1.3422247066183985E-15</v>
      </c>
      <c r="F152" s="3">
        <v>0.15</v>
      </c>
      <c r="G152" s="3">
        <v>4.0128325024685658</v>
      </c>
      <c r="H152" s="3" cm="1">
        <f t="array" ref="H152">SUM((_xlfn.NORM.DIST((F23:F151-F152),0,L152,TRUE)-_xlfn.NORM.DIST((F23:F151-F152-0.001),0,L152,TRUE))*(G23:G151+G153:G281))+G152*_xlfn.NORM.DIST(0,0,L152,TRUE)*2</f>
        <v>6.4685639709629665</v>
      </c>
      <c r="L152" s="3">
        <f t="shared" si="8"/>
        <v>3.0000000000000001E-3</v>
      </c>
    </row>
    <row r="153" spans="1:12" x14ac:dyDescent="0.4">
      <c r="A153" s="3">
        <v>-0.38200000000000001</v>
      </c>
      <c r="B153" s="3">
        <v>1.0861087027368995E-14</v>
      </c>
      <c r="C153" s="4">
        <f t="shared" si="7"/>
        <v>1.5644328490291398E-15</v>
      </c>
      <c r="D153" s="5">
        <f t="shared" si="6"/>
        <v>1.5644328490291398E-15</v>
      </c>
      <c r="F153" s="3">
        <v>0.151</v>
      </c>
      <c r="G153" s="3">
        <v>4.0128325024847618</v>
      </c>
      <c r="H153" s="3" cm="1">
        <f t="array" ref="H153">SUM((_xlfn.NORM.DIST((F24:F152-F153),0,L153,TRUE)-_xlfn.NORM.DIST((F24:F152-F153-0.001),0,L153,TRUE))*(G24:G152+G154:G282))+G153*_xlfn.NORM.DIST(0,0,L153,TRUE)*2</f>
        <v>6.4656122554668416</v>
      </c>
      <c r="L153" s="3">
        <f t="shared" si="8"/>
        <v>3.0000000000000001E-3</v>
      </c>
    </row>
    <row r="154" spans="1:12" x14ac:dyDescent="0.4">
      <c r="A154" s="3">
        <v>-0.38100000000000001</v>
      </c>
      <c r="B154" s="3">
        <v>1.2683785846242647E-14</v>
      </c>
      <c r="C154" s="4">
        <f t="shared" si="7"/>
        <v>1.8226988188736522E-15</v>
      </c>
      <c r="D154" s="5">
        <f t="shared" si="6"/>
        <v>1.8226988188736522E-15</v>
      </c>
      <c r="F154" s="3">
        <v>0.152</v>
      </c>
      <c r="G154" s="3">
        <v>4.012832502499573</v>
      </c>
      <c r="H154" s="3" cm="1">
        <f t="array" ref="H154">SUM((_xlfn.NORM.DIST((F25:F153-F154),0,L154,TRUE)-_xlfn.NORM.DIST((F25:F153-F154-0.001),0,L154,TRUE))*(G25:G153+G155:G283))+G154*_xlfn.NORM.DIST(0,0,L154,TRUE)*2</f>
        <v>6.4627341421780322</v>
      </c>
      <c r="L154" s="3">
        <f t="shared" si="8"/>
        <v>3.0000000000000001E-3</v>
      </c>
    </row>
    <row r="155" spans="1:12" x14ac:dyDescent="0.4">
      <c r="A155" s="3">
        <v>-0.38</v>
      </c>
      <c r="B155" s="3">
        <v>1.4806537490048066E-14</v>
      </c>
      <c r="C155" s="4">
        <f t="shared" si="7"/>
        <v>2.122751643805419E-15</v>
      </c>
      <c r="D155" s="5">
        <f t="shared" si="6"/>
        <v>2.122751643805419E-15</v>
      </c>
      <c r="F155" s="3">
        <v>0.153</v>
      </c>
      <c r="G155" s="3">
        <v>4.0128325024809604</v>
      </c>
      <c r="H155" s="3" cm="1">
        <f t="array" ref="H155">SUM((_xlfn.NORM.DIST((F26:F154-F155),0,L155,TRUE)-_xlfn.NORM.DIST((F26:F154-F155-0.001),0,L155,TRUE))*(G26:G154+G156:G284))+G155*_xlfn.NORM.DIST(0,0,L155,TRUE)*2</f>
        <v>6.459926910812813</v>
      </c>
      <c r="L155" s="3">
        <f t="shared" si="8"/>
        <v>3.0000000000000001E-3</v>
      </c>
    </row>
    <row r="156" spans="1:12" x14ac:dyDescent="0.4">
      <c r="A156" s="3">
        <v>-0.379</v>
      </c>
      <c r="B156" s="3">
        <v>1.727774802974072E-14</v>
      </c>
      <c r="C156" s="4">
        <f t="shared" si="7"/>
        <v>2.4712105396926543E-15</v>
      </c>
      <c r="D156" s="5">
        <f t="shared" si="6"/>
        <v>2.4712105396926543E-15</v>
      </c>
      <c r="F156" s="3">
        <v>0.154</v>
      </c>
      <c r="G156" s="3">
        <v>4.0128325024793368</v>
      </c>
      <c r="H156" s="3" cm="1">
        <f t="array" ref="H156">SUM((_xlfn.NORM.DIST((F27:F155-F156),0,L156,TRUE)-_xlfn.NORM.DIST((F27:F155-F156-0.001),0,L156,TRUE))*(G27:G155+G157:G285))+G156*_xlfn.NORM.DIST(0,0,L156,TRUE)*2</f>
        <v>6.4571879736425419</v>
      </c>
      <c r="L156" s="3">
        <f t="shared" si="8"/>
        <v>3.0000000000000001E-3</v>
      </c>
    </row>
    <row r="157" spans="1:12" x14ac:dyDescent="0.4">
      <c r="A157" s="3">
        <v>-0.378</v>
      </c>
      <c r="B157" s="3">
        <v>2.0153468025753193E-14</v>
      </c>
      <c r="C157" s="4">
        <f t="shared" si="7"/>
        <v>2.8757199960124723E-15</v>
      </c>
      <c r="D157" s="5">
        <f t="shared" si="6"/>
        <v>2.8757199960124723E-15</v>
      </c>
      <c r="F157" s="3">
        <v>0.155</v>
      </c>
      <c r="G157" s="3">
        <v>4.0128325024778375</v>
      </c>
      <c r="H157" s="3" cm="1">
        <f t="array" ref="H157">SUM((_xlfn.NORM.DIST((F28:F156-F157),0,L157,TRUE)-_xlfn.NORM.DIST((F28:F156-F157-0.001),0,L157,TRUE))*(G28:G156+G158:G286))+G157*_xlfn.NORM.DIST(0,0,L157,TRUE)*2</f>
        <v>6.4545148673839012</v>
      </c>
      <c r="L157" s="3">
        <f t="shared" si="8"/>
        <v>3.0000000000000001E-3</v>
      </c>
    </row>
    <row r="158" spans="1:12" x14ac:dyDescent="0.4">
      <c r="A158" s="3">
        <v>-0.377</v>
      </c>
      <c r="B158" s="3">
        <v>2.3498572875411047E-14</v>
      </c>
      <c r="C158" s="4">
        <f t="shared" si="7"/>
        <v>3.3451048496578542E-15</v>
      </c>
      <c r="D158" s="5">
        <f t="shared" si="6"/>
        <v>3.3451048496578542E-15</v>
      </c>
      <c r="F158" s="3">
        <v>0.156</v>
      </c>
      <c r="G158" s="3">
        <v>4.0128325024769422</v>
      </c>
      <c r="H158" s="3" cm="1">
        <f t="array" ref="H158">SUM((_xlfn.NORM.DIST((F29:F157-F158),0,L158,TRUE)-_xlfn.NORM.DIST((F29:F157-F158-0.001),0,L158,TRUE))*(G29:G157+G159:G287))+G158*_xlfn.NORM.DIST(0,0,L158,TRUE)*2</f>
        <v>6.4519052458724246</v>
      </c>
      <c r="L158" s="3">
        <f t="shared" si="8"/>
        <v>3.0000000000000001E-3</v>
      </c>
    </row>
    <row r="159" spans="1:12" x14ac:dyDescent="0.4">
      <c r="A159" s="3">
        <v>-0.376</v>
      </c>
      <c r="B159" s="3">
        <v>2.7388121101301234E-14</v>
      </c>
      <c r="C159" s="4">
        <f t="shared" si="7"/>
        <v>3.8895482258901867E-15</v>
      </c>
      <c r="D159" s="5">
        <f t="shared" si="6"/>
        <v>3.8895482258901867E-15</v>
      </c>
      <c r="F159" s="3">
        <v>0.157</v>
      </c>
      <c r="G159" s="3">
        <v>4.0128325024894202</v>
      </c>
      <c r="H159" s="3" cm="1">
        <f t="array" ref="H159">SUM((_xlfn.NORM.DIST((F30:F158-F159),0,L159,TRUE)-_xlfn.NORM.DIST((F30:F158-F159-0.001),0,L159,TRUE))*(G30:G158+G160:G288))+G159*_xlfn.NORM.DIST(0,0,L159,TRUE)*2</f>
        <v>6.4493568731797044</v>
      </c>
      <c r="L159" s="3">
        <f t="shared" si="8"/>
        <v>3.0000000000000001E-3</v>
      </c>
    </row>
    <row r="160" spans="1:12" x14ac:dyDescent="0.4">
      <c r="A160" s="3">
        <v>-0.375</v>
      </c>
      <c r="B160" s="3">
        <v>3.190891672910885E-14</v>
      </c>
      <c r="C160" s="4">
        <f t="shared" si="7"/>
        <v>4.5207956278076163E-15</v>
      </c>
      <c r="D160" s="5">
        <f t="shared" si="6"/>
        <v>4.5207956278076163E-15</v>
      </c>
      <c r="F160" s="3">
        <v>0.158</v>
      </c>
      <c r="G160" s="3">
        <v>4.0128325024743194</v>
      </c>
      <c r="H160" s="3" cm="1">
        <f t="array" ref="H160">SUM((_xlfn.NORM.DIST((F31:F159-F160),0,L160,TRUE)-_xlfn.NORM.DIST((F31:F159-F160-0.001),0,L160,TRUE))*(G31:G159+G161:G289))+G160*_xlfn.NORM.DIST(0,0,L160,TRUE)*2</f>
        <v>6.4468676171481949</v>
      </c>
      <c r="L160" s="3">
        <f t="shared" si="8"/>
        <v>3.0000000000000001E-3</v>
      </c>
    </row>
    <row r="161" spans="1:12" x14ac:dyDescent="0.4">
      <c r="A161" s="3">
        <v>-0.374</v>
      </c>
      <c r="B161" s="3">
        <v>3.7161305642055047E-14</v>
      </c>
      <c r="C161" s="4">
        <f t="shared" si="7"/>
        <v>5.252388912946197E-15</v>
      </c>
      <c r="D161" s="5">
        <f t="shared" si="6"/>
        <v>5.252388912946197E-15</v>
      </c>
      <c r="F161" s="3">
        <v>0.159</v>
      </c>
      <c r="G161" s="3">
        <v>4.012832502486062</v>
      </c>
      <c r="H161" s="3" cm="1">
        <f t="array" ref="H161">SUM((_xlfn.NORM.DIST((F32:F160-F161),0,L161,TRUE)-_xlfn.NORM.DIST((F32:F160-F161-0.001),0,L161,TRUE))*(G32:G160+G162:G290))+G161*_xlfn.NORM.DIST(0,0,L161,TRUE)*2</f>
        <v>6.4444354435744442</v>
      </c>
      <c r="L161" s="3">
        <f t="shared" si="8"/>
        <v>3.0000000000000001E-3</v>
      </c>
    </row>
    <row r="162" spans="1:12" x14ac:dyDescent="0.4">
      <c r="A162" s="3">
        <v>-0.373</v>
      </c>
      <c r="B162" s="3">
        <v>4.326124005658103E-14</v>
      </c>
      <c r="C162" s="4">
        <f t="shared" si="7"/>
        <v>6.0999344145259834E-15</v>
      </c>
      <c r="D162" s="5">
        <f t="shared" si="6"/>
        <v>6.0999344145259834E-15</v>
      </c>
      <c r="F162" s="3">
        <v>0.16</v>
      </c>
      <c r="G162" s="3">
        <v>4.0128325024970568</v>
      </c>
      <c r="H162" s="3" cm="1">
        <f t="array" ref="H162">SUM((_xlfn.NORM.DIST((F33:F161-F162),0,L162,TRUE)-_xlfn.NORM.DIST((F33:F161-F162-0.001),0,L162,TRUE))*(G33:G161+G163:G291))+G162*_xlfn.NORM.DIST(0,0,L162,TRUE)*2</f>
        <v>6.4420584104903584</v>
      </c>
      <c r="L162" s="3">
        <f t="shared" si="8"/>
        <v>3.0000000000000001E-3</v>
      </c>
    </row>
    <row r="163" spans="1:12" x14ac:dyDescent="0.4">
      <c r="A163" s="3">
        <v>-0.372</v>
      </c>
      <c r="B163" s="3">
        <v>5.0342650110129216E-14</v>
      </c>
      <c r="C163" s="4">
        <f t="shared" si="7"/>
        <v>7.0814100535481859E-15</v>
      </c>
      <c r="D163" s="5">
        <f t="shared" si="6"/>
        <v>7.0814100535481859E-15</v>
      </c>
      <c r="F163" s="3">
        <v>0.161</v>
      </c>
      <c r="G163" s="3">
        <v>4.0128325024831186</v>
      </c>
      <c r="H163" s="3" cm="1">
        <f t="array" ref="H163">SUM((_xlfn.NORM.DIST((F34:F162-F163),0,L163,TRUE)-_xlfn.NORM.DIST((F34:F162-F163-0.001),0,L163,TRUE))*(G34:G162+G164:G292))+G163*_xlfn.NORM.DIST(0,0,L163,TRUE)*2</f>
        <v>6.4397346630588039</v>
      </c>
      <c r="L163" s="3">
        <f t="shared" si="8"/>
        <v>3.0000000000000001E-3</v>
      </c>
    </row>
    <row r="164" spans="1:12" x14ac:dyDescent="0.4">
      <c r="A164" s="3">
        <v>-0.371</v>
      </c>
      <c r="B164" s="3">
        <v>5.8560167065484915E-14</v>
      </c>
      <c r="C164" s="4">
        <f t="shared" si="7"/>
        <v>8.217516955355699E-15</v>
      </c>
      <c r="D164" s="5">
        <f t="shared" si="6"/>
        <v>8.217516955355699E-15</v>
      </c>
      <c r="F164" s="3">
        <v>0.16200000000000001</v>
      </c>
      <c r="G164" s="3">
        <v>4.012832502481821</v>
      </c>
      <c r="H164" s="3" cm="1">
        <f t="array" ref="H164">SUM((_xlfn.NORM.DIST((F35:F163-F164),0,L164,TRUE)-_xlfn.NORM.DIST((F35:F163-F164-0.001),0,L164,TRUE))*(G35:G163+G165:G293))+G164*_xlfn.NORM.DIST(0,0,L164,TRUE)*2</f>
        <v>6.4374624287983622</v>
      </c>
      <c r="L164" s="3">
        <f t="shared" si="8"/>
        <v>3.0000000000000001E-3</v>
      </c>
    </row>
    <row r="165" spans="1:12" x14ac:dyDescent="0.4">
      <c r="A165" s="3">
        <v>-0.37</v>
      </c>
      <c r="B165" s="3">
        <v>6.8092248906200181E-14</v>
      </c>
      <c r="C165" s="4">
        <f t="shared" si="7"/>
        <v>9.5320818407152654E-15</v>
      </c>
      <c r="D165" s="5">
        <f t="shared" si="6"/>
        <v>9.5320818407152654E-15</v>
      </c>
      <c r="F165" s="3">
        <v>0.16300000000000001</v>
      </c>
      <c r="G165" s="3">
        <v>4.0128325024691369</v>
      </c>
      <c r="H165" s="3" cm="1">
        <f t="array" ref="H165">SUM((_xlfn.NORM.DIST((F36:F164-F165),0,L165,TRUE)-_xlfn.NORM.DIST((F36:F164-F165-0.001),0,L165,TRUE))*(G36:G164+G166:G294))+G165*_xlfn.NORM.DIST(0,0,L165,TRUE)*2</f>
        <v>6.4352400129521206</v>
      </c>
      <c r="L165" s="3">
        <f t="shared" si="8"/>
        <v>3.0000000000000001E-3</v>
      </c>
    </row>
    <row r="166" spans="1:12" x14ac:dyDescent="0.4">
      <c r="A166" s="3">
        <v>-0.36899999999999999</v>
      </c>
      <c r="B166" s="3">
        <v>7.9144766224431765E-14</v>
      </c>
      <c r="C166" s="4">
        <f t="shared" si="7"/>
        <v>1.1052517318231584E-14</v>
      </c>
      <c r="D166" s="5">
        <f t="shared" si="6"/>
        <v>1.1052517318231584E-14</v>
      </c>
      <c r="F166" s="3">
        <v>0.16400000000000001</v>
      </c>
      <c r="G166" s="3">
        <v>4.012832502479367</v>
      </c>
      <c r="H166" s="3" cm="1">
        <f t="array" ref="H166">SUM((_xlfn.NORM.DIST((F37:F165-F166),0,L166,TRUE)-_xlfn.NORM.DIST((F37:F165-F166-0.001),0,L166,TRUE))*(G37:G165+G167:G295))+G166*_xlfn.NORM.DIST(0,0,L166,TRUE)*2</f>
        <v>6.4330657943774536</v>
      </c>
      <c r="L166" s="3">
        <f t="shared" si="8"/>
        <v>3.0000000000000001E-3</v>
      </c>
    </row>
    <row r="167" spans="1:12" x14ac:dyDescent="0.4">
      <c r="A167" s="3">
        <v>-0.36799999999999999</v>
      </c>
      <c r="B167" s="3">
        <v>9.1955114399400784E-14</v>
      </c>
      <c r="C167" s="4">
        <f t="shared" si="7"/>
        <v>1.2810348174969019E-14</v>
      </c>
      <c r="D167" s="5">
        <f t="shared" si="6"/>
        <v>1.2810348174969019E-14</v>
      </c>
      <c r="F167" s="3">
        <v>0.16500000000000001</v>
      </c>
      <c r="G167" s="3">
        <v>4.0128325024894824</v>
      </c>
      <c r="H167" s="3" cm="1">
        <f t="array" ref="H167">SUM((_xlfn.NORM.DIST((F38:F166-F167),0,L167,TRUE)-_xlfn.NORM.DIST((F38:F166-F167-0.001),0,L167,TRUE))*(G38:G166+G168:G296))+G167*_xlfn.NORM.DIST(0,0,L167,TRUE)*2</f>
        <v>6.4309382214887085</v>
      </c>
      <c r="L167" s="3">
        <f t="shared" si="8"/>
        <v>3.0000000000000001E-3</v>
      </c>
    </row>
    <row r="168" spans="1:12" x14ac:dyDescent="0.4">
      <c r="A168" s="3">
        <v>-0.36699999999999999</v>
      </c>
      <c r="B168" s="3">
        <v>1.0679692725922922E-13</v>
      </c>
      <c r="C168" s="4">
        <f t="shared" si="7"/>
        <v>1.484181285982844E-14</v>
      </c>
      <c r="D168" s="5">
        <f t="shared" si="6"/>
        <v>1.484181285982844E-14</v>
      </c>
      <c r="F168" s="3">
        <v>0.16600000000000001</v>
      </c>
      <c r="G168" s="3">
        <v>4.012832502477611</v>
      </c>
      <c r="H168" s="3" cm="1">
        <f t="array" ref="H168">SUM((_xlfn.NORM.DIST((F39:F167-F168),0,L168,TRUE)-_xlfn.NORM.DIST((F39:F167-F168-0.001),0,L168,TRUE))*(G39:G167+G169:G297))+G168*_xlfn.NORM.DIST(0,0,L168,TRUE)*2</f>
        <v>6.428855808610046</v>
      </c>
      <c r="L168" s="3">
        <f t="shared" si="8"/>
        <v>3.0000000000000001E-3</v>
      </c>
    </row>
    <row r="169" spans="1:12" x14ac:dyDescent="0.4">
      <c r="A169" s="3">
        <v>-0.36599999999999999</v>
      </c>
      <c r="B169" s="3">
        <v>1.2398547785503122E-13</v>
      </c>
      <c r="C169" s="4">
        <f t="shared" si="7"/>
        <v>1.7188550595802E-14</v>
      </c>
      <c r="D169" s="5">
        <f t="shared" si="6"/>
        <v>1.7188550595802E-14</v>
      </c>
      <c r="F169" s="3">
        <v>0.16700000000000001</v>
      </c>
      <c r="G169" s="3">
        <v>4.0128325024868206</v>
      </c>
      <c r="H169" s="3" cm="1">
        <f t="array" ref="H169">SUM((_xlfn.NORM.DIST((F40:F168-F169),0,L169,TRUE)-_xlfn.NORM.DIST((F40:F168-F169-0.001),0,L169,TRUE))*(G40:G168+G170:G298))+G169*_xlfn.NORM.DIST(0,0,L169,TRUE)*2</f>
        <v>6.4268171325756827</v>
      </c>
      <c r="L169" s="3">
        <f t="shared" si="8"/>
        <v>3.0000000000000001E-3</v>
      </c>
    </row>
    <row r="170" spans="1:12" x14ac:dyDescent="0.4">
      <c r="A170" s="3">
        <v>-0.36499999999999999</v>
      </c>
      <c r="B170" s="3">
        <v>1.4388386381575811E-13</v>
      </c>
      <c r="C170" s="4">
        <f t="shared" si="7"/>
        <v>1.9898385960726891E-14</v>
      </c>
      <c r="D170" s="5">
        <f t="shared" si="6"/>
        <v>1.9898385960726891E-14</v>
      </c>
      <c r="F170" s="3">
        <v>0.16800000000000001</v>
      </c>
      <c r="G170" s="3">
        <v>4.0128325024756197</v>
      </c>
      <c r="H170" s="3" cm="1">
        <f t="array" ref="H170">SUM((_xlfn.NORM.DIST((F41:F169-F170),0,L170,TRUE)-_xlfn.NORM.DIST((F41:F169-F170-0.001),0,L170,TRUE))*(G41:G169+G171:G299))+G170*_xlfn.NORM.DIST(0,0,L170,TRUE)*2</f>
        <v>6.4248208293404323</v>
      </c>
      <c r="L170" s="3">
        <f t="shared" si="8"/>
        <v>3.0000000000000001E-3</v>
      </c>
    </row>
    <row r="171" spans="1:12" x14ac:dyDescent="0.4">
      <c r="A171" s="3">
        <v>-0.36399999999999999</v>
      </c>
      <c r="B171" s="3">
        <v>1.6691008817792901E-13</v>
      </c>
      <c r="C171" s="4">
        <f t="shared" si="7"/>
        <v>2.302622436217089E-14</v>
      </c>
      <c r="D171" s="5">
        <f t="shared" si="6"/>
        <v>2.302622436217089E-14</v>
      </c>
      <c r="F171" s="3">
        <v>0.16900000000000001</v>
      </c>
      <c r="G171" s="3">
        <v>4.0128325024844225</v>
      </c>
      <c r="H171" s="3" cm="1">
        <f t="array" ref="H171">SUM((_xlfn.NORM.DIST((F42:F170-F171),0,L171,TRUE)-_xlfn.NORM.DIST((F42:F170-F171-0.001),0,L171,TRUE))*(G42:G170+G172:G300))+G171*_xlfn.NORM.DIST(0,0,L171,TRUE)*2</f>
        <v>6.4228655910881871</v>
      </c>
      <c r="L171" s="3">
        <f t="shared" si="8"/>
        <v>3.0000000000000001E-3</v>
      </c>
    </row>
    <row r="172" spans="1:12" x14ac:dyDescent="0.4">
      <c r="A172" s="3">
        <v>-0.36299999999999999</v>
      </c>
      <c r="B172" s="3">
        <v>1.9354516180096395E-13</v>
      </c>
      <c r="C172" s="4">
        <f t="shared" si="7"/>
        <v>2.6635073623034944E-14</v>
      </c>
      <c r="D172" s="5">
        <f t="shared" si="6"/>
        <v>2.6635073623034944E-14</v>
      </c>
      <c r="F172" s="3">
        <v>0.17</v>
      </c>
      <c r="G172" s="3">
        <v>4.0128325024833442</v>
      </c>
      <c r="H172" s="3" cm="1">
        <f t="array" ref="H172">SUM((_xlfn.NORM.DIST((F43:F171-F172),0,L172,TRUE)-_xlfn.NORM.DIST((F43:F171-F172-0.001),0,L172,TRUE))*(G43:G171+G173:G301))+G172*_xlfn.NORM.DIST(0,0,L172,TRUE)*2</f>
        <v>6.4209501632286656</v>
      </c>
      <c r="L172" s="3">
        <f t="shared" si="8"/>
        <v>3.0000000000000001E-3</v>
      </c>
    </row>
    <row r="173" spans="1:12" x14ac:dyDescent="0.4">
      <c r="A173" s="3">
        <v>-0.36199999999999999</v>
      </c>
      <c r="B173" s="3">
        <v>2.2434237071735842E-13</v>
      </c>
      <c r="C173" s="4">
        <f t="shared" si="7"/>
        <v>3.0797208916394473E-14</v>
      </c>
      <c r="D173" s="5">
        <f t="shared" si="6"/>
        <v>3.0797208916394473E-14</v>
      </c>
      <c r="F173" s="3">
        <v>0.17100000000000001</v>
      </c>
      <c r="G173" s="3">
        <v>4.0128325024730183</v>
      </c>
      <c r="H173" s="3" cm="1">
        <f t="array" ref="H173">SUM((_xlfn.NORM.DIST((F44:F172-F173),0,L173,TRUE)-_xlfn.NORM.DIST((F44:F172-F173-0.001),0,L173,TRUE))*(G44:G172+G174:G302))+G173*_xlfn.NORM.DIST(0,0,L173,TRUE)*2</f>
        <v>6.4190733418018802</v>
      </c>
      <c r="L173" s="3">
        <f t="shared" si="8"/>
        <v>3.0000000000000001E-3</v>
      </c>
    </row>
    <row r="174" spans="1:12" x14ac:dyDescent="0.4">
      <c r="A174" s="3">
        <v>-0.36099999999999999</v>
      </c>
      <c r="B174" s="3">
        <v>2.5993787128636283E-13</v>
      </c>
      <c r="C174" s="4">
        <f t="shared" si="7"/>
        <v>3.5595500569004409E-14</v>
      </c>
      <c r="D174" s="5">
        <f t="shared" si="6"/>
        <v>3.5595500569004409E-14</v>
      </c>
      <c r="F174" s="3">
        <v>0.17200000000000001</v>
      </c>
      <c r="G174" s="3">
        <v>4.0128325024812721</v>
      </c>
      <c r="H174" s="3" cm="1">
        <f t="array" ref="H174">SUM((_xlfn.NORM.DIST((F45:F173-F174),0,L174,TRUE)-_xlfn.NORM.DIST((F45:F173-F174-0.001),0,L174,TRUE))*(G45:G173+G175:G303))+G174*_xlfn.NORM.DIST(0,0,L174,TRUE)*2</f>
        <v>6.417233970952176</v>
      </c>
      <c r="L174" s="3">
        <f t="shared" si="8"/>
        <v>3.0000000000000001E-3</v>
      </c>
    </row>
    <row r="175" spans="1:12" x14ac:dyDescent="0.4">
      <c r="A175" s="3">
        <v>-0.36</v>
      </c>
      <c r="B175" s="3">
        <v>3.0106279811174425E-13</v>
      </c>
      <c r="C175" s="4">
        <f t="shared" si="7"/>
        <v>4.1124926825381419E-14</v>
      </c>
      <c r="D175" s="5">
        <f t="shared" si="6"/>
        <v>4.1124926825381419E-14</v>
      </c>
      <c r="F175" s="3">
        <v>0.17300000000000001</v>
      </c>
      <c r="G175" s="3">
        <v>4.0128325024895206</v>
      </c>
      <c r="H175" s="3" cm="1">
        <f t="array" ref="H175">SUM((_xlfn.NORM.DIST((F46:F174-F175),0,L175,TRUE)-_xlfn.NORM.DIST((F46:F174-F175-0.001),0,L175,TRUE))*(G46:G174+G176:G304))+G175*_xlfn.NORM.DIST(0,0,L175,TRUE)*2</f>
        <v>6.4154309404808956</v>
      </c>
      <c r="L175" s="3">
        <f t="shared" si="8"/>
        <v>3.0000000000000001E-3</v>
      </c>
    </row>
    <row r="176" spans="1:12" x14ac:dyDescent="0.4">
      <c r="A176" s="3">
        <v>-0.35899999999999999</v>
      </c>
      <c r="B176" s="3">
        <v>3.4855709467523925E-13</v>
      </c>
      <c r="C176" s="4">
        <f t="shared" si="7"/>
        <v>4.7494296563494999E-14</v>
      </c>
      <c r="D176" s="5">
        <f t="shared" si="6"/>
        <v>4.7494296563494999E-14</v>
      </c>
      <c r="F176" s="3">
        <v>0.17400000000000002</v>
      </c>
      <c r="G176" s="3">
        <v>4.0128325024797418</v>
      </c>
      <c r="H176" s="3" cm="1">
        <f t="array" ref="H176">SUM((_xlfn.NORM.DIST((F47:F175-F176),0,L176,TRUE)-_xlfn.NORM.DIST((F47:F175-F176-0.001),0,L176,TRUE))*(G47:G175+G177:G305))+G176*_xlfn.NORM.DIST(0,0,L176,TRUE)*2</f>
        <v>6.4136631836504634</v>
      </c>
      <c r="L176" s="3">
        <f t="shared" si="8"/>
        <v>3.0000000000000001E-3</v>
      </c>
    </row>
    <row r="177" spans="1:12" x14ac:dyDescent="0.4">
      <c r="A177" s="3">
        <v>-0.35799999999999998</v>
      </c>
      <c r="B177" s="3">
        <v>4.0338530489475749E-13</v>
      </c>
      <c r="C177" s="4">
        <f t="shared" si="7"/>
        <v>5.4828210219518241E-14</v>
      </c>
      <c r="D177" s="5">
        <f t="shared" si="6"/>
        <v>5.4828210219518241E-14</v>
      </c>
      <c r="F177" s="3">
        <v>0.17500000000000002</v>
      </c>
      <c r="G177" s="3">
        <v>4.0128325024869662</v>
      </c>
      <c r="H177" s="3" cm="1">
        <f t="array" ref="H177">SUM((_xlfn.NORM.DIST((F48:F176-F177),0,L177,TRUE)-_xlfn.NORM.DIST((F48:F176-F177-0.001),0,L177,TRUE))*(G48:G176+G178:G306))+G177*_xlfn.NORM.DIST(0,0,L177,TRUE)*2</f>
        <v>6.4119296751304109</v>
      </c>
      <c r="L177" s="3">
        <f t="shared" si="8"/>
        <v>3.0000000000000001E-3</v>
      </c>
    </row>
    <row r="178" spans="1:12" x14ac:dyDescent="0.4">
      <c r="A178" s="3">
        <v>-0.35700000000000004</v>
      </c>
      <c r="B178" s="3">
        <v>4.6665459575131317E-13</v>
      </c>
      <c r="C178" s="4">
        <f t="shared" si="7"/>
        <v>6.3269290856555678E-14</v>
      </c>
      <c r="D178" s="5">
        <f t="shared" si="6"/>
        <v>6.3269290856555678E-14</v>
      </c>
      <c r="F178" s="3">
        <v>0.17599999999999999</v>
      </c>
      <c r="G178" s="3">
        <v>4.0128325024776537</v>
      </c>
      <c r="H178" s="3" cm="1">
        <f t="array" ref="H178">SUM((_xlfn.NORM.DIST((F49:F177-F178),0,L178,TRUE)-_xlfn.NORM.DIST((F49:F177-F178-0.001),0,L178,TRUE))*(G49:G177+G179:G307))+G178*_xlfn.NORM.DIST(0,0,L178,TRUE)*2</f>
        <v>6.4102294288964936</v>
      </c>
      <c r="L178" s="3">
        <f t="shared" si="8"/>
        <v>3.0000000000000001E-3</v>
      </c>
    </row>
    <row r="179" spans="1:12" x14ac:dyDescent="0.4">
      <c r="A179" s="3">
        <v>-0.35600000000000004</v>
      </c>
      <c r="B179" s="3">
        <v>5.3963531720291804E-13</v>
      </c>
      <c r="C179" s="4">
        <f t="shared" si="7"/>
        <v>7.2980721451604868E-14</v>
      </c>
      <c r="D179" s="5">
        <f t="shared" si="6"/>
        <v>7.2980721451604868E-14</v>
      </c>
      <c r="F179" s="3">
        <v>0.17699999999999999</v>
      </c>
      <c r="G179" s="3">
        <v>4.0128325024849589</v>
      </c>
      <c r="H179" s="3" cm="1">
        <f t="array" ref="H179">SUM((_xlfn.NORM.DIST((F50:F178-F179),0,L179,TRUE)-_xlfn.NORM.DIST((F50:F178-F179-0.001),0,L179,TRUE))*(G50:G178+G180:G308))+G179*_xlfn.NORM.DIST(0,0,L179,TRUE)*2</f>
        <v>6.4085614964854791</v>
      </c>
      <c r="L179" s="3">
        <f t="shared" si="8"/>
        <v>3.0000000000000001E-3</v>
      </c>
    </row>
    <row r="180" spans="1:12" x14ac:dyDescent="0.4">
      <c r="A180" s="3">
        <v>-0.35500000000000004</v>
      </c>
      <c r="B180" s="3">
        <v>6.237844463331518E-13</v>
      </c>
      <c r="C180" s="4">
        <f t="shared" si="7"/>
        <v>8.4149129130233765E-14</v>
      </c>
      <c r="D180" s="5">
        <f t="shared" si="6"/>
        <v>8.4149129130233765E-14</v>
      </c>
      <c r="F180" s="3">
        <v>0.17799999999999999</v>
      </c>
      <c r="G180" s="3">
        <v>4.0128325024840441</v>
      </c>
      <c r="H180" s="3" cm="1">
        <f t="array" ref="H180">SUM((_xlfn.NORM.DIST((F51:F179-F180),0,L180,TRUE)-_xlfn.NORM.DIST((F51:F179-F180-0.001),0,L180,TRUE))*(G51:G179+G181:G309))+G180*_xlfn.NORM.DIST(0,0,L180,TRUE)*2</f>
        <v>6.4069249651126352</v>
      </c>
      <c r="L180" s="3">
        <f t="shared" si="8"/>
        <v>3.0000000000000001E-3</v>
      </c>
    </row>
    <row r="181" spans="1:12" x14ac:dyDescent="0.4">
      <c r="A181" s="3">
        <v>-0.35400000000000004</v>
      </c>
      <c r="B181" s="3">
        <v>7.2077230864674662E-13</v>
      </c>
      <c r="C181" s="4">
        <f t="shared" si="7"/>
        <v>9.698786231359482E-14</v>
      </c>
      <c r="D181" s="5">
        <f t="shared" si="6"/>
        <v>9.698786231359482E-14</v>
      </c>
      <c r="F181" s="3">
        <v>0.17899999999999999</v>
      </c>
      <c r="G181" s="3">
        <v>4.0128325024753444</v>
      </c>
      <c r="H181" s="3" cm="1">
        <f t="array" ref="H181">SUM((_xlfn.NORM.DIST((F52:F180-F181),0,L181,TRUE)-_xlfn.NORM.DIST((F52:F180-F181-0.001),0,L181,TRUE))*(G52:G180+G182:G310))+G181*_xlfn.NORM.DIST(0,0,L181,TRUE)*2</f>
        <v>6.4053189560798369</v>
      </c>
      <c r="L181" s="3">
        <f t="shared" si="8"/>
        <v>3.0000000000000001E-3</v>
      </c>
    </row>
    <row r="182" spans="1:12" x14ac:dyDescent="0.4">
      <c r="A182" s="3">
        <v>-0.35300000000000004</v>
      </c>
      <c r="B182" s="3">
        <v>8.3251302127026088E-13</v>
      </c>
      <c r="C182" s="4">
        <f t="shared" si="7"/>
        <v>1.1174071262351426E-13</v>
      </c>
      <c r="D182" s="5">
        <f t="shared" si="6"/>
        <v>1.1174071262351426E-13</v>
      </c>
      <c r="F182" s="3">
        <v>0.18</v>
      </c>
      <c r="G182" s="3">
        <v>4.0128325024825839</v>
      </c>
      <c r="H182" s="3" cm="1">
        <f t="array" ref="H182">SUM((_xlfn.NORM.DIST((F53:F181-F182),0,L182,TRUE)-_xlfn.NORM.DIST((F53:F181-F182-0.001),0,L182,TRUE))*(G53:G181+G183:G311))+G182*_xlfn.NORM.DIST(0,0,L182,TRUE)*2</f>
        <v>6.4037426232025521</v>
      </c>
      <c r="L182" s="3">
        <f t="shared" si="8"/>
        <v>3.0000000000000001E-3</v>
      </c>
    </row>
    <row r="183" spans="1:12" x14ac:dyDescent="0.4">
      <c r="A183" s="3">
        <v>-0.35200000000000004</v>
      </c>
      <c r="B183" s="3">
        <v>9.6119916126893644E-13</v>
      </c>
      <c r="C183" s="4">
        <f t="shared" si="7"/>
        <v>1.2868613999867557E-13</v>
      </c>
      <c r="D183" s="5">
        <f t="shared" si="6"/>
        <v>1.2868613999867557E-13</v>
      </c>
      <c r="F183" s="3">
        <v>0.18099999999999999</v>
      </c>
      <c r="G183" s="3">
        <v>4.0128325024892382</v>
      </c>
      <c r="H183" s="3" cm="1">
        <f t="array" ref="H183">SUM((_xlfn.NORM.DIST((F54:F182-F183),0,L183,TRUE)-_xlfn.NORM.DIST((F54:F182-F183-0.001),0,L183,TRUE))*(G54:G182+G184:G312))+G183*_xlfn.NORM.DIST(0,0,L183,TRUE)*2</f>
        <v>6.402195151260293</v>
      </c>
      <c r="L183" s="3">
        <f t="shared" si="8"/>
        <v>3.0000000000000001E-3</v>
      </c>
    </row>
    <row r="184" spans="1:12" x14ac:dyDescent="0.4">
      <c r="A184" s="3">
        <v>-0.35100000000000003</v>
      </c>
      <c r="B184" s="3">
        <v>1.1093412281591357E-12</v>
      </c>
      <c r="C184" s="4">
        <f t="shared" si="7"/>
        <v>1.481420668901993E-13</v>
      </c>
      <c r="D184" s="5">
        <f t="shared" si="6"/>
        <v>1.481420668901993E-13</v>
      </c>
      <c r="F184" s="3">
        <v>0.182</v>
      </c>
      <c r="G184" s="3">
        <v>4.0128325024809293</v>
      </c>
      <c r="H184" s="3" cm="1">
        <f t="array" ref="H184">SUM((_xlfn.NORM.DIST((F55:F183-F184),0,L184,TRUE)-_xlfn.NORM.DIST((F55:F183-F184-0.001),0,L184,TRUE))*(G55:G183+G185:G313))+G184*_xlfn.NORM.DIST(0,0,L184,TRUE)*2</f>
        <v>6.4006757546270983</v>
      </c>
      <c r="L184" s="3">
        <f t="shared" si="8"/>
        <v>3.0000000000000001E-3</v>
      </c>
    </row>
    <row r="185" spans="1:12" x14ac:dyDescent="0.4">
      <c r="A185" s="3">
        <v>-0.35000000000000003</v>
      </c>
      <c r="B185" s="3">
        <v>1.2798125438858352E-12</v>
      </c>
      <c r="C185" s="4">
        <f t="shared" si="7"/>
        <v>1.7047131572669942E-13</v>
      </c>
      <c r="D185" s="5">
        <f t="shared" si="6"/>
        <v>1.7047131572669942E-13</v>
      </c>
      <c r="F185" s="3">
        <v>0.183</v>
      </c>
      <c r="G185" s="3">
        <v>4.0128325024873686</v>
      </c>
      <c r="H185" s="3" cm="1">
        <f t="array" ref="H185">SUM((_xlfn.NORM.DIST((F56:F184-F185),0,L185,TRUE)-_xlfn.NORM.DIST((F56:F184-F185-0.001),0,L185,TRUE))*(G56:G184+G186:G314))+G185*_xlfn.NORM.DIST(0,0,L185,TRUE)*2</f>
        <v>6.3991836759826084</v>
      </c>
      <c r="L185" s="3">
        <f t="shared" si="8"/>
        <v>3.0000000000000001E-3</v>
      </c>
    </row>
    <row r="186" spans="1:12" x14ac:dyDescent="0.4">
      <c r="A186" s="3">
        <v>-0.34900000000000003</v>
      </c>
      <c r="B186" s="3">
        <v>1.475900317055534E-12</v>
      </c>
      <c r="C186" s="4">
        <f t="shared" si="7"/>
        <v>1.9608777316969887E-13</v>
      </c>
      <c r="D186" s="5">
        <f t="shared" si="6"/>
        <v>1.9608777316969887E-13</v>
      </c>
      <c r="F186" s="3">
        <v>0.184</v>
      </c>
      <c r="G186" s="3">
        <v>4.0128325024793936</v>
      </c>
      <c r="H186" s="3" cm="1">
        <f t="array" ref="H186">SUM((_xlfn.NORM.DIST((F57:F185-F186),0,L186,TRUE)-_xlfn.NORM.DIST((F57:F185-F186-0.001),0,L186,TRUE))*(G57:G185+G187:G315))+G186*_xlfn.NORM.DIST(0,0,L186,TRUE)*2</f>
        <v>6.3977181849547851</v>
      </c>
      <c r="L186" s="3">
        <f t="shared" si="8"/>
        <v>3.0000000000000001E-3</v>
      </c>
    </row>
    <row r="187" spans="1:12" x14ac:dyDescent="0.4">
      <c r="A187" s="3">
        <v>-0.34800000000000003</v>
      </c>
      <c r="B187" s="3">
        <v>1.7013636921956778E-12</v>
      </c>
      <c r="C187" s="4">
        <f t="shared" si="7"/>
        <v>2.2546337514014376E-13</v>
      </c>
      <c r="D187" s="5">
        <f t="shared" si="6"/>
        <v>2.2546337514014376E-13</v>
      </c>
      <c r="F187" s="3">
        <v>0.185</v>
      </c>
      <c r="G187" s="3">
        <v>4.0128325024786911</v>
      </c>
      <c r="H187" s="3" cm="1">
        <f t="array" ref="H187">SUM((_xlfn.NORM.DIST((F58:F186-F187),0,L187,TRUE)-_xlfn.NORM.DIST((F58:F186-F187-0.001),0,L187,TRUE))*(G58:G186+G188:G316))+G187*_xlfn.NORM.DIST(0,0,L187,TRUE)*2</f>
        <v>6.3962785770288342</v>
      </c>
      <c r="L187" s="3">
        <f t="shared" si="8"/>
        <v>3.0000000000000001E-3</v>
      </c>
    </row>
    <row r="188" spans="1:12" x14ac:dyDescent="0.4">
      <c r="A188" s="3">
        <v>-0.34700000000000003</v>
      </c>
      <c r="B188" s="3">
        <v>1.9604997105092576E-12</v>
      </c>
      <c r="C188" s="4">
        <f t="shared" si="7"/>
        <v>2.591360183135798E-13</v>
      </c>
      <c r="D188" s="5">
        <f t="shared" si="6"/>
        <v>2.591360183135798E-13</v>
      </c>
      <c r="F188" s="3">
        <v>0.186</v>
      </c>
      <c r="G188" s="3">
        <v>4.0128325024848328</v>
      </c>
      <c r="H188" s="3" cm="1">
        <f t="array" ref="H188">SUM((_xlfn.NORM.DIST((F59:F187-F188),0,L188,TRUE)-_xlfn.NORM.DIST((F59:F187-F188-0.001),0,L188,TRUE))*(G59:G187+G189:G317))+G188*_xlfn.NORM.DIST(0,0,L188,TRUE)*2</f>
        <v>6.3948641723504096</v>
      </c>
      <c r="L188" s="3">
        <f t="shared" si="8"/>
        <v>3.0000000000000001E-3</v>
      </c>
    </row>
    <row r="189" spans="1:12" x14ac:dyDescent="0.4">
      <c r="A189" s="3">
        <v>-0.34600000000000003</v>
      </c>
      <c r="B189" s="3">
        <v>2.2582182274116901E-12</v>
      </c>
      <c r="C189" s="4">
        <f t="shared" si="7"/>
        <v>2.9771851690243255E-13</v>
      </c>
      <c r="D189" s="5">
        <f t="shared" si="6"/>
        <v>2.9771851690243255E-13</v>
      </c>
      <c r="F189" s="3">
        <v>0.187</v>
      </c>
      <c r="G189" s="3">
        <v>4.0128325024773108</v>
      </c>
      <c r="H189" s="3" cm="1">
        <f t="array" ref="H189">SUM((_xlfn.NORM.DIST((F60:F188-F189),0,L189,TRUE)-_xlfn.NORM.DIST((F60:F188-F189-0.001),0,L189,TRUE))*(G60:G188+G190:G318))+G189*_xlfn.NORM.DIST(0,0,L189,TRUE)*2</f>
        <v>6.3934743146530781</v>
      </c>
      <c r="L189" s="3">
        <f t="shared" si="8"/>
        <v>3.0000000000000001E-3</v>
      </c>
    </row>
    <row r="190" spans="1:12" x14ac:dyDescent="0.4">
      <c r="A190" s="3">
        <v>-0.34500000000000003</v>
      </c>
      <c r="B190" s="3">
        <v>2.600126965638173E-12</v>
      </c>
      <c r="C190" s="4">
        <f t="shared" si="7"/>
        <v>3.4190873822648287E-13</v>
      </c>
      <c r="D190" s="5">
        <f t="shared" si="6"/>
        <v>3.4190873822648287E-13</v>
      </c>
      <c r="F190" s="3">
        <v>0.188</v>
      </c>
      <c r="G190" s="3">
        <v>4.0128325024832687</v>
      </c>
      <c r="H190" s="3" cm="1">
        <f t="array" ref="H190">SUM((_xlfn.NORM.DIST((F61:F189-F190),0,L190,TRUE)-_xlfn.NORM.DIST((F61:F189-F190-0.001),0,L190,TRUE))*(G61:G189+G191:G319))+G190*_xlfn.NORM.DIST(0,0,L190,TRUE)*2</f>
        <v>6.3921083703075858</v>
      </c>
      <c r="L190" s="3">
        <f t="shared" si="8"/>
        <v>3.0000000000000001E-3</v>
      </c>
    </row>
    <row r="191" spans="1:12" x14ac:dyDescent="0.4">
      <c r="A191" s="3">
        <v>-0.34400000000000003</v>
      </c>
      <c r="B191" s="3">
        <v>2.9926280326350346E-12</v>
      </c>
      <c r="C191" s="4">
        <f t="shared" si="7"/>
        <v>3.9250106699686158E-13</v>
      </c>
      <c r="D191" s="5">
        <f t="shared" si="6"/>
        <v>3.9250106699686158E-13</v>
      </c>
      <c r="F191" s="3">
        <v>0.189</v>
      </c>
      <c r="G191" s="3">
        <v>4.0128325024762912</v>
      </c>
      <c r="H191" s="3" cm="1">
        <f t="array" ref="H191">SUM((_xlfn.NORM.DIST((F62:F190-F191),0,L191,TRUE)-_xlfn.NORM.DIST((F62:F190-F191-0.001),0,L191,TRUE))*(G62:G190+G192:G320))+G191*_xlfn.NORM.DIST(0,0,L191,TRUE)*2</f>
        <v>6.3907657272625364</v>
      </c>
      <c r="L191" s="3">
        <f t="shared" si="8"/>
        <v>3.0000000000000001E-3</v>
      </c>
    </row>
    <row r="192" spans="1:12" x14ac:dyDescent="0.4">
      <c r="A192" s="3">
        <v>-0.34300000000000003</v>
      </c>
      <c r="B192" s="3">
        <v>3.4430273992369653E-12</v>
      </c>
      <c r="C192" s="4">
        <f t="shared" si="7"/>
        <v>4.5039936660193071E-13</v>
      </c>
      <c r="D192" s="5">
        <f t="shared" si="6"/>
        <v>4.5039936660193071E-13</v>
      </c>
      <c r="F192" s="3">
        <v>0.19</v>
      </c>
      <c r="G192" s="3">
        <v>4.0128325024820723</v>
      </c>
      <c r="H192" s="3" cm="1">
        <f t="array" ref="H192">SUM((_xlfn.NORM.DIST((F63:F191-F192),0,L192,TRUE)-_xlfn.NORM.DIST((F63:F191-F192-0.001),0,L192,TRUE))*(G63:G191+G193:G321))+G192*_xlfn.NORM.DIST(0,0,L192,TRUE)*2</f>
        <v>6.3894457942280933</v>
      </c>
      <c r="L192" s="3">
        <f t="shared" si="8"/>
        <v>3.0000000000000001E-3</v>
      </c>
    </row>
    <row r="193" spans="1:12" x14ac:dyDescent="0.4">
      <c r="A193" s="3">
        <v>-0.34200000000000003</v>
      </c>
      <c r="B193" s="3">
        <v>3.9596590254358599E-12</v>
      </c>
      <c r="C193" s="4">
        <f t="shared" si="7"/>
        <v>5.1663162619889462E-13</v>
      </c>
      <c r="D193" s="5">
        <f t="shared" si="6"/>
        <v>5.1663162619889462E-13</v>
      </c>
      <c r="F193" s="3">
        <v>0.191</v>
      </c>
      <c r="G193" s="3">
        <v>4.012832502487667</v>
      </c>
      <c r="H193" s="3" cm="1">
        <f t="array" ref="H193">SUM((_xlfn.NORM.DIST((F64:F192-F193),0,L193,TRUE)-_xlfn.NORM.DIST((F64:F192-F193-0.001),0,L193,TRUE))*(G64:G192+G194:G322))+G193*_xlfn.NORM.DIST(0,0,L193,TRUE)*2</f>
        <v>6.3881479997229151</v>
      </c>
      <c r="L193" s="3">
        <f t="shared" si="8"/>
        <v>3.0000000000000001E-3</v>
      </c>
    </row>
    <row r="194" spans="1:12" x14ac:dyDescent="0.4">
      <c r="A194" s="3">
        <v>-0.34100000000000003</v>
      </c>
      <c r="B194" s="3">
        <v>4.5520255307679928E-12</v>
      </c>
      <c r="C194" s="4">
        <f t="shared" si="7"/>
        <v>5.9236650533213288E-13</v>
      </c>
      <c r="D194" s="5">
        <f t="shared" ref="D194:D257" si="9">C194</f>
        <v>5.9236650533213288E-13</v>
      </c>
      <c r="F194" s="3">
        <v>0.192</v>
      </c>
      <c r="G194" s="3">
        <v>4.0128325024806948</v>
      </c>
      <c r="H194" s="3" cm="1">
        <f t="array" ref="H194">SUM((_xlfn.NORM.DIST((F65:F193-F194),0,L194,TRUE)-_xlfn.NORM.DIST((F65:F193-F194-0.001),0,L194,TRUE))*(G65:G193+G195:G323))+G194*_xlfn.NORM.DIST(0,0,L194,TRUE)*2</f>
        <v>6.3868717912823669</v>
      </c>
      <c r="L194" s="3">
        <f t="shared" si="8"/>
        <v>3.0000000000000001E-3</v>
      </c>
    </row>
    <row r="195" spans="1:12" x14ac:dyDescent="0.4">
      <c r="A195" s="3">
        <v>-0.34</v>
      </c>
      <c r="B195" s="3">
        <v>5.2309575441445819E-12</v>
      </c>
      <c r="C195" s="4">
        <f t="shared" ref="C195:C258" si="10">B195-B194</f>
        <v>6.7893201337658907E-13</v>
      </c>
      <c r="D195" s="5">
        <f t="shared" si="9"/>
        <v>6.7893201337658907E-13</v>
      </c>
      <c r="F195" s="3">
        <v>0.193</v>
      </c>
      <c r="G195" s="3">
        <v>4.0128325024800588</v>
      </c>
      <c r="H195" s="3" cm="1">
        <f t="array" ref="H195">SUM((_xlfn.NORM.DIST((F66:F194-F195),0,L195,TRUE)-_xlfn.NORM.DIST((F66:F194-F195-0.001),0,L195,TRUE))*(G66:G194+G196:G324))+G195*_xlfn.NORM.DIST(0,0,L195,TRUE)*2</f>
        <v>6.3856166347049452</v>
      </c>
      <c r="L195" s="3">
        <f t="shared" si="8"/>
        <v>3.0000000000000001E-3</v>
      </c>
    </row>
    <row r="196" spans="1:12" x14ac:dyDescent="0.4">
      <c r="A196" s="3">
        <v>-0.33900000000000002</v>
      </c>
      <c r="B196" s="3">
        <v>6.0087941337849689E-12</v>
      </c>
      <c r="C196" s="4">
        <f t="shared" si="10"/>
        <v>7.7783658964038708E-13</v>
      </c>
      <c r="D196" s="5">
        <f t="shared" si="9"/>
        <v>7.7783658964038708E-13</v>
      </c>
      <c r="F196" s="3">
        <v>0.19400000000000001</v>
      </c>
      <c r="G196" s="3">
        <v>4.0128325024854279</v>
      </c>
      <c r="H196" s="3" cm="1">
        <f t="array" ref="H196">SUM((_xlfn.NORM.DIST((F67:F195-F196),0,L196,TRUE)-_xlfn.NORM.DIST((F67:F195-F196-0.001),0,L196,TRUE))*(G67:G195+G197:G325))+G196*_xlfn.NORM.DIST(0,0,L196,TRUE)*2</f>
        <v>6.3843820132596232</v>
      </c>
      <c r="L196" s="3">
        <f t="shared" ref="L196:L259" si="11">L195</f>
        <v>3.0000000000000001E-3</v>
      </c>
    </row>
    <row r="197" spans="1:12" x14ac:dyDescent="0.4">
      <c r="A197" s="3">
        <v>-0.33800000000000002</v>
      </c>
      <c r="B197" s="3">
        <v>6.8995870155696668E-12</v>
      </c>
      <c r="C197" s="4">
        <f t="shared" si="10"/>
        <v>8.9079288178469788E-13</v>
      </c>
      <c r="D197" s="5">
        <f t="shared" si="9"/>
        <v>8.9079288178469788E-13</v>
      </c>
      <c r="F197" s="3">
        <v>0.19500000000000001</v>
      </c>
      <c r="G197" s="3">
        <v>4.0128325024788039</v>
      </c>
      <c r="H197" s="3" cm="1">
        <f t="array" ref="H197">SUM((_xlfn.NORM.DIST((F68:F196-F197),0,L197,TRUE)-_xlfn.NORM.DIST((F68:F196-F197-0.001),0,L197,TRUE))*(G68:G196+G198:G326))+G197*_xlfn.NORM.DIST(0,0,L197,TRUE)*2</f>
        <v>6.3831674269748477</v>
      </c>
      <c r="L197" s="3">
        <f t="shared" si="11"/>
        <v>3.0000000000000001E-3</v>
      </c>
    </row>
    <row r="198" spans="1:12" x14ac:dyDescent="0.4">
      <c r="A198" s="3">
        <v>-0.33700000000000002</v>
      </c>
      <c r="B198" s="3">
        <v>7.9193315712483834E-12</v>
      </c>
      <c r="C198" s="4">
        <f t="shared" si="10"/>
        <v>1.0197445556787165E-12</v>
      </c>
      <c r="D198" s="5">
        <f t="shared" si="9"/>
        <v>1.0197445556787165E-12</v>
      </c>
      <c r="F198" s="3">
        <v>0.19600000000000001</v>
      </c>
      <c r="G198" s="3">
        <v>4.0128325024840326</v>
      </c>
      <c r="H198" s="3" cm="1">
        <f t="array" ref="H198">SUM((_xlfn.NORM.DIST((F69:F197-F198),0,L198,TRUE)-_xlfn.NORM.DIST((F69:F197-F198-0.001),0,L198,TRUE))*(G69:G197+G199:G327))+G198*_xlfn.NORM.DIST(0,0,L198,TRUE)*2</f>
        <v>6.3819723920203835</v>
      </c>
      <c r="L198" s="3">
        <f t="shared" si="11"/>
        <v>3.0000000000000001E-3</v>
      </c>
    </row>
    <row r="199" spans="1:12" x14ac:dyDescent="0.4">
      <c r="A199" s="3">
        <v>-0.33600000000000002</v>
      </c>
      <c r="B199" s="3">
        <v>9.0862280805653122E-12</v>
      </c>
      <c r="C199" s="4">
        <f t="shared" si="10"/>
        <v>1.1668965093169288E-12</v>
      </c>
      <c r="D199" s="5">
        <f t="shared" si="9"/>
        <v>1.1668965093169288E-12</v>
      </c>
      <c r="F199" s="3">
        <v>0.19700000000000001</v>
      </c>
      <c r="G199" s="3">
        <v>4.0128325024778606</v>
      </c>
      <c r="H199" s="3" cm="1">
        <f t="array" ref="H199">SUM((_xlfn.NORM.DIST((F70:F198-F199),0,L199,TRUE)-_xlfn.NORM.DIST((F70:F198-F199-0.001),0,L199,TRUE))*(G70:G198+G200:G328))+G199*_xlfn.NORM.DIST(0,0,L199,TRUE)*2</f>
        <v>6.3807964399805819</v>
      </c>
      <c r="L199" s="3">
        <f t="shared" si="11"/>
        <v>3.0000000000000001E-3</v>
      </c>
    </row>
    <row r="200" spans="1:12" x14ac:dyDescent="0.4">
      <c r="A200" s="3">
        <v>-0.33500000000000002</v>
      </c>
      <c r="B200" s="3">
        <v>1.0420976987965154E-11</v>
      </c>
      <c r="C200" s="4">
        <f t="shared" si="10"/>
        <v>1.3347489073998414E-12</v>
      </c>
      <c r="D200" s="5">
        <f t="shared" si="9"/>
        <v>1.3347489073998414E-12</v>
      </c>
      <c r="F200" s="3">
        <v>0.19800000000000001</v>
      </c>
      <c r="G200" s="3">
        <v>4.0128325024829516</v>
      </c>
      <c r="H200" s="3" cm="1">
        <f t="array" ref="H200">SUM((_xlfn.NORM.DIST((F71:F199-F200),0,L200,TRUE)-_xlfn.NORM.DIST((F71:F199-F200-0.001),0,L200,TRUE))*(G71:G199+G201:G329))+G200*_xlfn.NORM.DIST(0,0,L200,TRUE)*2</f>
        <v>6.3796391173284785</v>
      </c>
      <c r="L200" s="3">
        <f t="shared" si="11"/>
        <v>3.0000000000000001E-3</v>
      </c>
    </row>
    <row r="201" spans="1:12" x14ac:dyDescent="0.4">
      <c r="A201" s="3">
        <v>-0.33400000000000002</v>
      </c>
      <c r="B201" s="3">
        <v>1.1947112490090924E-11</v>
      </c>
      <c r="C201" s="4">
        <f t="shared" si="10"/>
        <v>1.5261355021257706E-12</v>
      </c>
      <c r="D201" s="5">
        <f t="shared" si="9"/>
        <v>1.5261355021257706E-12</v>
      </c>
      <c r="F201" s="3">
        <v>0.19900000000000001</v>
      </c>
      <c r="G201" s="3">
        <v>4.0128325024878979</v>
      </c>
      <c r="H201" s="3" cm="1">
        <f t="array" ref="H201">SUM((_xlfn.NORM.DIST((F72:F200-F201),0,L201,TRUE)-_xlfn.NORM.DIST((F72:F200-F201-0.001),0,L201,TRUE))*(G72:G200+G202:G330))+G201*_xlfn.NORM.DIST(0,0,L201,TRUE)*2</f>
        <v>6.3784999847684123</v>
      </c>
      <c r="L201" s="3">
        <f t="shared" si="11"/>
        <v>3.0000000000000001E-3</v>
      </c>
    </row>
    <row r="202" spans="1:12" x14ac:dyDescent="0.4">
      <c r="A202" s="3">
        <v>-0.33300000000000002</v>
      </c>
      <c r="B202" s="3">
        <v>1.3691379250250151E-11</v>
      </c>
      <c r="C202" s="4">
        <f t="shared" si="10"/>
        <v>1.7442667601592266E-12</v>
      </c>
      <c r="D202" s="5">
        <f t="shared" si="9"/>
        <v>1.7442667601592266E-12</v>
      </c>
      <c r="F202" s="3">
        <v>0.2</v>
      </c>
      <c r="G202" s="3">
        <v>4.0128325024817038</v>
      </c>
      <c r="H202" s="3" cm="1">
        <f t="array" ref="H202">SUM((_xlfn.NORM.DIST((F73:F201-F202),0,L202,TRUE)-_xlfn.NORM.DIST((F73:F201-F202-0.001),0,L202,TRUE))*(G73:G201+G203:G331))+G202*_xlfn.NORM.DIST(0,0,L202,TRUE)*2</f>
        <v>6.3773786167094073</v>
      </c>
      <c r="L202" s="3">
        <f t="shared" si="11"/>
        <v>3.0000000000000001E-3</v>
      </c>
    </row>
    <row r="203" spans="1:12" x14ac:dyDescent="0.4">
      <c r="A203" s="3">
        <v>-0.33200000000000002</v>
      </c>
      <c r="B203" s="3">
        <v>1.5684157626499455E-11</v>
      </c>
      <c r="C203" s="4">
        <f t="shared" si="10"/>
        <v>1.9927783762493042E-12</v>
      </c>
      <c r="D203" s="5">
        <f t="shared" si="9"/>
        <v>1.9927783762493042E-12</v>
      </c>
      <c r="F203" s="3">
        <v>0.20100000000000001</v>
      </c>
      <c r="G203" s="3">
        <v>4.0128325024811247</v>
      </c>
      <c r="H203" s="3" cm="1">
        <f t="array" ref="H203">SUM((_xlfn.NORM.DIST((F74:F202-F203),0,L203,TRUE)-_xlfn.NORM.DIST((F74:F202-F203-0.001),0,L203,TRUE))*(G74:G202+G204:G332))+G203*_xlfn.NORM.DIST(0,0,L203,TRUE)*2</f>
        <v>6.3762746007624624</v>
      </c>
      <c r="L203" s="3">
        <f t="shared" si="11"/>
        <v>3.0000000000000001E-3</v>
      </c>
    </row>
    <row r="204" spans="1:12" x14ac:dyDescent="0.4">
      <c r="A204" s="3">
        <v>-0.33100000000000002</v>
      </c>
      <c r="B204" s="3">
        <v>1.7959943447673099E-11</v>
      </c>
      <c r="C204" s="4">
        <f t="shared" si="10"/>
        <v>2.2757858211736438E-12</v>
      </c>
      <c r="D204" s="5">
        <f t="shared" si="9"/>
        <v>2.2757858211736438E-12</v>
      </c>
      <c r="F204" s="3">
        <v>0.20200000000000001</v>
      </c>
      <c r="G204" s="3">
        <v>4.0128325024858942</v>
      </c>
      <c r="H204" s="3" cm="1">
        <f t="array" ref="H204">SUM((_xlfn.NORM.DIST((F75:F203-F204),0,L204,TRUE)-_xlfn.NORM.DIST((F75:F203-F204-0.001),0,L204,TRUE))*(G75:G203+G205:G333))+G204*_xlfn.NORM.DIST(0,0,L204,TRUE)*2</f>
        <v>6.3751875371933018</v>
      </c>
      <c r="L204" s="3">
        <f t="shared" si="11"/>
        <v>3.0000000000000001E-3</v>
      </c>
    </row>
    <row r="205" spans="1:12" x14ac:dyDescent="0.4">
      <c r="A205" s="3">
        <v>-0.33</v>
      </c>
      <c r="B205" s="3">
        <v>2.0557889093995238E-11</v>
      </c>
      <c r="C205" s="4">
        <f t="shared" si="10"/>
        <v>2.5979456463221395E-12</v>
      </c>
      <c r="D205" s="5">
        <f t="shared" si="9"/>
        <v>2.5979456463221395E-12</v>
      </c>
      <c r="F205" s="3">
        <v>0.20300000000000001</v>
      </c>
      <c r="G205" s="3">
        <v>4.0128325024799762</v>
      </c>
      <c r="H205" s="3" cm="1">
        <f t="array" ref="H205">SUM((_xlfn.NORM.DIST((F76:F204-F205),0,L205,TRUE)-_xlfn.NORM.DIST((F76:F204-F205-0.001),0,L205,TRUE))*(G76:G204+G206:G334))+G205*_xlfn.NORM.DIST(0,0,L205,TRUE)*2</f>
        <v>6.3741170384380768</v>
      </c>
      <c r="L205" s="3">
        <f t="shared" si="11"/>
        <v>3.0000000000000001E-3</v>
      </c>
    </row>
    <row r="206" spans="1:12" x14ac:dyDescent="0.4">
      <c r="A206" s="3">
        <v>-0.32900000000000001</v>
      </c>
      <c r="B206" s="3">
        <v>2.3522413444041697E-11</v>
      </c>
      <c r="C206" s="4">
        <f t="shared" si="10"/>
        <v>2.9645243500464591E-12</v>
      </c>
      <c r="D206" s="5">
        <f t="shared" si="9"/>
        <v>2.9645243500464591E-12</v>
      </c>
      <c r="F206" s="3">
        <v>0.20400000000000001</v>
      </c>
      <c r="G206" s="3">
        <v>4.0128325024846339</v>
      </c>
      <c r="H206" s="3" cm="1">
        <f t="array" ref="H206">SUM((_xlfn.NORM.DIST((F77:F205-F206),0,L206,TRUE)-_xlfn.NORM.DIST((F77:F205-F206-0.001),0,L206,TRUE))*(G77:G205+G207:G335))+G206*_xlfn.NORM.DIST(0,0,L206,TRUE)*2</f>
        <v>6.3730627286939265</v>
      </c>
      <c r="L206" s="3">
        <f t="shared" si="11"/>
        <v>3.0000000000000001E-3</v>
      </c>
    </row>
    <row r="207" spans="1:12" x14ac:dyDescent="0.4">
      <c r="A207" s="3">
        <v>-0.32800000000000001</v>
      </c>
      <c r="B207" s="3">
        <v>2.6903889146820091E-11</v>
      </c>
      <c r="C207" s="4">
        <f t="shared" si="10"/>
        <v>3.381475702778394E-12</v>
      </c>
      <c r="D207" s="5">
        <f t="shared" si="9"/>
        <v>3.381475702778394E-12</v>
      </c>
      <c r="F207" s="3">
        <v>0.20500000000000002</v>
      </c>
      <c r="G207" s="3">
        <v>4.0128325024788873</v>
      </c>
      <c r="H207" s="3" cm="1">
        <f t="array" ref="H207">SUM((_xlfn.NORM.DIST((F78:F206-F207),0,L207,TRUE)-_xlfn.NORM.DIST((F78:F206-F207-0.001),0,L207,TRUE))*(G78:G206+G208:G336))+G207*_xlfn.NORM.DIST(0,0,L207,TRUE)*2</f>
        <v>6.3720242434038532</v>
      </c>
      <c r="L207" s="3">
        <f t="shared" si="11"/>
        <v>3.0000000000000001E-3</v>
      </c>
    </row>
    <row r="208" spans="1:12" x14ac:dyDescent="0.4">
      <c r="A208" s="3">
        <v>-0.32700000000000001</v>
      </c>
      <c r="B208" s="3">
        <v>3.0759416676564669E-11</v>
      </c>
      <c r="C208" s="4">
        <f t="shared" si="10"/>
        <v>3.855527529744578E-12</v>
      </c>
      <c r="D208" s="5">
        <f t="shared" si="9"/>
        <v>3.855527529744578E-12</v>
      </c>
      <c r="F208" s="3">
        <v>0.20600000000000002</v>
      </c>
      <c r="G208" s="3">
        <v>4.0128325024836498</v>
      </c>
      <c r="H208" s="3" cm="1">
        <f t="array" ref="H208">SUM((_xlfn.NORM.DIST((F79:F207-F208),0,L208,TRUE)-_xlfn.NORM.DIST((F79:F207-F208-0.001),0,L208,TRUE))*(G79:G207+G209:G337))+G208*_xlfn.NORM.DIST(0,0,L208,TRUE)*2</f>
        <v>6.371001228914837</v>
      </c>
      <c r="L208" s="3">
        <f t="shared" si="11"/>
        <v>3.0000000000000001E-3</v>
      </c>
    </row>
    <row r="209" spans="1:12" x14ac:dyDescent="0.4">
      <c r="A209" s="3">
        <v>-0.32600000000000001</v>
      </c>
      <c r="B209" s="3">
        <v>3.5153695739517255E-11</v>
      </c>
      <c r="C209" s="4">
        <f t="shared" si="10"/>
        <v>4.3942790629525857E-12</v>
      </c>
      <c r="D209" s="5">
        <f t="shared" si="9"/>
        <v>4.3942790629525857E-12</v>
      </c>
      <c r="F209" s="3">
        <v>0.20700000000000002</v>
      </c>
      <c r="G209" s="3">
        <v>4.0128325024828824</v>
      </c>
      <c r="H209" s="3" cm="1">
        <f t="array" ref="H209">SUM((_xlfn.NORM.DIST((F80:F208-F209),0,L209,TRUE)-_xlfn.NORM.DIST((F80:F208-F209-0.001),0,L209,TRUE))*(G80:G208+G210:G338))+G209*_xlfn.NORM.DIST(0,0,L209,TRUE)*2</f>
        <v>6.3699933420026076</v>
      </c>
      <c r="L209" s="3">
        <f t="shared" si="11"/>
        <v>3.0000000000000001E-3</v>
      </c>
    </row>
    <row r="210" spans="1:12" x14ac:dyDescent="0.4">
      <c r="A210" s="3">
        <v>-0.32500000000000001</v>
      </c>
      <c r="B210" s="3">
        <v>4.0160005838590881E-11</v>
      </c>
      <c r="C210" s="4">
        <f t="shared" si="10"/>
        <v>5.0063100990736255E-12</v>
      </c>
      <c r="D210" s="5">
        <f t="shared" si="9"/>
        <v>5.0063100990736255E-12</v>
      </c>
      <c r="F210" s="3">
        <v>0.20800000000000002</v>
      </c>
      <c r="G210" s="3">
        <v>4.0128325024823051</v>
      </c>
      <c r="H210" s="3" cm="1">
        <f t="array" ref="H210">SUM((_xlfn.NORM.DIST((F81:F209-F210),0,L210,TRUE)-_xlfn.NORM.DIST((F81:F209-F210-0.001),0,L210,TRUE))*(G81:G209+G211:G339))+G210*_xlfn.NORM.DIST(0,0,L210,TRUE)*2</f>
        <v>6.3690002495415428</v>
      </c>
      <c r="L210" s="3">
        <f t="shared" si="11"/>
        <v>3.0000000000000001E-3</v>
      </c>
    </row>
    <row r="211" spans="1:12" x14ac:dyDescent="0.4">
      <c r="A211" s="3">
        <v>-0.32400000000000007</v>
      </c>
      <c r="B211" s="3">
        <v>4.5861309176724446E-11</v>
      </c>
      <c r="C211" s="4">
        <f t="shared" si="10"/>
        <v>5.7013033381335657E-12</v>
      </c>
      <c r="D211" s="5">
        <f t="shared" si="9"/>
        <v>5.7013033381335657E-12</v>
      </c>
      <c r="F211" s="3">
        <v>0.20899999999999999</v>
      </c>
      <c r="G211" s="3">
        <v>4.0128325024817748</v>
      </c>
      <c r="H211" s="3" cm="1">
        <f t="array" ref="H211">SUM((_xlfn.NORM.DIST((F82:F210-F211),0,L211,TRUE)-_xlfn.NORM.DIST((F82:F210-F211-0.001),0,L211,TRUE))*(G82:G210+G212:G340))+G211*_xlfn.NORM.DIST(0,0,L211,TRUE)*2</f>
        <v>6.3680216281122437</v>
      </c>
      <c r="L211" s="3">
        <f t="shared" si="11"/>
        <v>3.0000000000000001E-3</v>
      </c>
    </row>
    <row r="212" spans="1:12" x14ac:dyDescent="0.4">
      <c r="A212" s="3">
        <v>-0.32300000000000006</v>
      </c>
      <c r="B212" s="3">
        <v>5.2351490607639685E-11</v>
      </c>
      <c r="C212" s="4">
        <f t="shared" si="10"/>
        <v>6.4901814309152386E-12</v>
      </c>
      <c r="D212" s="5">
        <f t="shared" si="9"/>
        <v>6.4901814309152386E-12</v>
      </c>
      <c r="F212" s="3">
        <v>0.21</v>
      </c>
      <c r="G212" s="3">
        <v>4.0128325024764173</v>
      </c>
      <c r="H212" s="3" cm="1">
        <f t="array" ref="H212">SUM((_xlfn.NORM.DIST((F83:F211-F212),0,L212,TRUE)-_xlfn.NORM.DIST((F83:F211-F212-0.001),0,L212,TRUE))*(G83:G211+G213:G341))+G212*_xlfn.NORM.DIST(0,0,L212,TRUE)*2</f>
        <v>6.3670571636507587</v>
      </c>
      <c r="L212" s="3">
        <f t="shared" si="11"/>
        <v>3.0000000000000001E-3</v>
      </c>
    </row>
    <row r="213" spans="1:12" x14ac:dyDescent="0.4">
      <c r="A213" s="3">
        <v>-0.32200000000000006</v>
      </c>
      <c r="B213" s="3">
        <v>5.9736751039730348E-11</v>
      </c>
      <c r="C213" s="4">
        <f t="shared" si="10"/>
        <v>7.3852604320906631E-12</v>
      </c>
      <c r="D213" s="5">
        <f t="shared" si="9"/>
        <v>7.3852604320906631E-12</v>
      </c>
      <c r="F213" s="3">
        <v>0.21099999999999999</v>
      </c>
      <c r="G213" s="3">
        <v>4.0128325024807223</v>
      </c>
      <c r="H213" s="3" cm="1">
        <f t="array" ref="H213">SUM((_xlfn.NORM.DIST((F84:F212-F213),0,L213,TRUE)-_xlfn.NORM.DIST((F84:F212-F213-0.001),0,L213,TRUE))*(G84:G212+G214:G342))+G213*_xlfn.NORM.DIST(0,0,L213,TRUE)*2</f>
        <v>6.3661065511359913</v>
      </c>
      <c r="L213" s="3">
        <f t="shared" si="11"/>
        <v>3.0000000000000001E-3</v>
      </c>
    </row>
    <row r="214" spans="1:12" x14ac:dyDescent="0.4">
      <c r="A214" s="3">
        <v>-0.32100000000000006</v>
      </c>
      <c r="B214" s="3">
        <v>6.8137172582733819E-11</v>
      </c>
      <c r="C214" s="4">
        <f t="shared" si="10"/>
        <v>8.4004215430034713E-12</v>
      </c>
      <c r="D214" s="5">
        <f t="shared" si="9"/>
        <v>8.4004215430034713E-12</v>
      </c>
      <c r="F214" s="3">
        <v>0.21199999999999999</v>
      </c>
      <c r="G214" s="3">
        <v>4.0128325024849252</v>
      </c>
      <c r="H214" s="3" cm="1">
        <f t="array" ref="H214">SUM((_xlfn.NORM.DIST((F85:F213-F214),0,L214,TRUE)-_xlfn.NORM.DIST((F85:F213-F214-0.001),0,L214,TRUE))*(G85:G213+G215:G343))+G214*_xlfn.NORM.DIST(0,0,L214,TRUE)*2</f>
        <v>6.3651694942263202</v>
      </c>
      <c r="L214" s="3">
        <f t="shared" si="11"/>
        <v>3.0000000000000001E-3</v>
      </c>
    </row>
    <row r="215" spans="1:12" x14ac:dyDescent="0.4">
      <c r="A215" s="3">
        <v>-0.32000000000000006</v>
      </c>
      <c r="B215" s="3">
        <v>7.7688475817097679E-11</v>
      </c>
      <c r="C215" s="4">
        <f t="shared" si="10"/>
        <v>9.5513032343638596E-12</v>
      </c>
      <c r="D215" s="5">
        <f t="shared" si="9"/>
        <v>9.5513032343638596E-12</v>
      </c>
      <c r="F215" s="3">
        <v>0.21299999999999999</v>
      </c>
      <c r="G215" s="3">
        <v>4.0128325024799123</v>
      </c>
      <c r="H215" s="3" cm="1">
        <f t="array" ref="H215">SUM((_xlfn.NORM.DIST((F86:F214-F215),0,L215,TRUE)-_xlfn.NORM.DIST((F86:F214-F215-0.001),0,L215,TRUE))*(G86:G214+G216:G344))+G215*_xlfn.NORM.DIST(0,0,L215,TRUE)*2</f>
        <v>6.3642457049733974</v>
      </c>
      <c r="L215" s="3">
        <f t="shared" si="11"/>
        <v>3.0000000000000001E-3</v>
      </c>
    </row>
    <row r="216" spans="1:12" x14ac:dyDescent="0.4">
      <c r="A216" s="3">
        <v>-0.31900000000000006</v>
      </c>
      <c r="B216" s="3">
        <v>8.8543991884076598E-11</v>
      </c>
      <c r="C216" s="4">
        <f t="shared" si="10"/>
        <v>1.0855516066978919E-11</v>
      </c>
      <c r="D216" s="5">
        <f t="shared" si="9"/>
        <v>1.0855516066978919E-11</v>
      </c>
      <c r="F216" s="3">
        <v>0.214</v>
      </c>
      <c r="G216" s="3">
        <v>4.0128325024840255</v>
      </c>
      <c r="H216" s="3" cm="1">
        <f t="array" ref="H216">SUM((_xlfn.NORM.DIST((F87:F215-F216),0,L216,TRUE)-_xlfn.NORM.DIST((F87:F215-F216-0.001),0,L216,TRUE))*(G87:G215+G217:G345))+G216*_xlfn.NORM.DIST(0,0,L216,TRUE)*2</f>
        <v>6.5778636028466675</v>
      </c>
      <c r="L216" s="3">
        <f t="shared" si="11"/>
        <v>3.0000000000000001E-3</v>
      </c>
    </row>
    <row r="217" spans="1:12" x14ac:dyDescent="0.4">
      <c r="A217" s="3">
        <v>-0.31800000000000006</v>
      </c>
      <c r="B217" s="3">
        <v>1.0087687466392876E-10</v>
      </c>
      <c r="C217" s="4">
        <f t="shared" si="10"/>
        <v>1.2332882779852163E-11</v>
      </c>
      <c r="D217" s="5">
        <f t="shared" si="9"/>
        <v>1.2332882779852163E-11</v>
      </c>
      <c r="F217" s="3">
        <v>0.215</v>
      </c>
      <c r="G217" s="3">
        <v>4.012832502483513</v>
      </c>
      <c r="H217" s="3" cm="1">
        <f t="array" ref="H217">SUM((_xlfn.NORM.DIST((F88:F216-F217),0,L217,TRUE)-_xlfn.NORM.DIST((F88:F216-F217-0.001),0,L217,TRUE))*(G88:G216+G218:G346))+G217*_xlfn.NORM.DIST(0,0,L217,TRUE)*2</f>
        <v>6.7476184010324456</v>
      </c>
      <c r="L217" s="3">
        <f t="shared" si="11"/>
        <v>3.0000000000000001E-3</v>
      </c>
    </row>
    <row r="218" spans="1:12" x14ac:dyDescent="0.4">
      <c r="A218" s="3">
        <v>-0.31700000000000006</v>
      </c>
      <c r="B218" s="3">
        <v>1.1488258115602882E-10</v>
      </c>
      <c r="C218" s="4">
        <f t="shared" si="10"/>
        <v>1.4005706492100062E-11</v>
      </c>
      <c r="D218" s="5">
        <f t="shared" si="9"/>
        <v>1.4005706492100062E-11</v>
      </c>
      <c r="F218" s="3">
        <v>0.216</v>
      </c>
      <c r="G218" s="3">
        <v>4.0128325024785028</v>
      </c>
      <c r="H218" s="3" cm="1">
        <f t="array" ref="H218">SUM((_xlfn.NORM.DIST((F89:F217-F218),0,L218,TRUE)-_xlfn.NORM.DIST((F89:F217-F218-0.001),0,L218,TRUE))*(G89:G217+G219:G347))+G218*_xlfn.NORM.DIST(0,0,L218,TRUE)*2</f>
        <v>6.867802756819759</v>
      </c>
      <c r="L218" s="3">
        <f t="shared" si="11"/>
        <v>3.0000000000000001E-3</v>
      </c>
    </row>
    <row r="219" spans="1:12" x14ac:dyDescent="0.4">
      <c r="A219" s="3">
        <v>-0.31600000000000006</v>
      </c>
      <c r="B219" s="3">
        <v>1.307816513264219E-10</v>
      </c>
      <c r="C219" s="4">
        <f t="shared" si="10"/>
        <v>1.5899070170393077E-11</v>
      </c>
      <c r="D219" s="5">
        <f t="shared" si="9"/>
        <v>1.5899070170393077E-11</v>
      </c>
      <c r="F219" s="3">
        <v>0.217</v>
      </c>
      <c r="G219" s="3">
        <v>4.0128325024824925</v>
      </c>
      <c r="H219" s="3" cm="1">
        <f t="array" ref="H219">SUM((_xlfn.NORM.DIST((F90:F218-F219),0,L219,TRUE)-_xlfn.NORM.DIST((F90:F218-F219-0.001),0,L219,TRUE))*(G90:G218+G220:G348))+G219*_xlfn.NORM.DIST(0,0,L219,TRUE)*2</f>
        <v>6.943114034248369</v>
      </c>
      <c r="L219" s="3">
        <f t="shared" si="11"/>
        <v>3.0000000000000001E-3</v>
      </c>
    </row>
    <row r="220" spans="1:12" x14ac:dyDescent="0.4">
      <c r="A220" s="3">
        <v>-0.31500000000000006</v>
      </c>
      <c r="B220" s="3">
        <v>1.4882282217622964E-10</v>
      </c>
      <c r="C220" s="4">
        <f t="shared" si="10"/>
        <v>1.8041170849807738E-11</v>
      </c>
      <c r="D220" s="5">
        <f t="shared" si="9"/>
        <v>1.8041170849807738E-11</v>
      </c>
      <c r="F220" s="3">
        <v>0.218</v>
      </c>
      <c r="G220" s="3">
        <v>4.0128325024776057</v>
      </c>
      <c r="H220" s="3" cm="1">
        <f t="array" ref="H220">SUM((_xlfn.NORM.DIST((F91:F219-F220),0,L220,TRUE)-_xlfn.NORM.DIST((F91:F219-F220-0.001),0,L220,TRUE))*(G91:G219+G221:G349))+G220*_xlfn.NORM.DIST(0,0,L220,TRUE)*2</f>
        <v>6.984217597060753</v>
      </c>
      <c r="L220" s="3">
        <f t="shared" si="11"/>
        <v>3.0000000000000001E-3</v>
      </c>
    </row>
    <row r="221" spans="1:12" x14ac:dyDescent="0.4">
      <c r="A221" s="3">
        <v>-0.31400000000000006</v>
      </c>
      <c r="B221" s="3">
        <v>1.6928651464230255E-10</v>
      </c>
      <c r="C221" s="4">
        <f t="shared" si="10"/>
        <v>2.0463692466072911E-11</v>
      </c>
      <c r="D221" s="5">
        <f t="shared" si="9"/>
        <v>2.0463692466072911E-11</v>
      </c>
      <c r="F221" s="3">
        <v>0.219</v>
      </c>
      <c r="G221" s="3">
        <v>4.0128325024815172</v>
      </c>
      <c r="H221" s="3" cm="1">
        <f t="array" ref="H221">SUM((_xlfn.NORM.DIST((F92:F220-F221),0,L221,TRUE)-_xlfn.NORM.DIST((F92:F220-F221-0.001),0,L221,TRUE))*(G92:G220+G222:G350))+G221*_xlfn.NORM.DIST(0,0,L221,TRUE)*2</f>
        <v>7.0028636306240237</v>
      </c>
      <c r="L221" s="3">
        <f t="shared" si="11"/>
        <v>3.0000000000000001E-3</v>
      </c>
    </row>
    <row r="222" spans="1:12" x14ac:dyDescent="0.4">
      <c r="A222" s="3">
        <v>-0.31300000000000006</v>
      </c>
      <c r="B222" s="3">
        <v>1.9248873620654769E-10</v>
      </c>
      <c r="C222" s="4">
        <f t="shared" si="10"/>
        <v>2.3202221564245142E-11</v>
      </c>
      <c r="D222" s="5">
        <f t="shared" si="9"/>
        <v>2.3202221564245142E-11</v>
      </c>
      <c r="F222" s="3">
        <v>0.22</v>
      </c>
      <c r="G222" s="3">
        <v>4.0128325024853426</v>
      </c>
      <c r="H222" s="3" cm="1">
        <f t="array" ref="H222">SUM((_xlfn.NORM.DIST((F93:F221-F222),0,L222,TRUE)-_xlfn.NORM.DIST((F93:F221-F222-0.001),0,L222,TRUE))*(G93:G221+G223:G351))+G222*_xlfn.NORM.DIST(0,0,L222,TRUE)*2</f>
        <v>7.0086656710170701</v>
      </c>
      <c r="L222" s="3">
        <f t="shared" si="11"/>
        <v>3.0000000000000001E-3</v>
      </c>
    </row>
    <row r="223" spans="1:12" x14ac:dyDescent="0.4">
      <c r="A223" s="3">
        <v>-0.31200000000000006</v>
      </c>
      <c r="B223" s="3">
        <v>2.1878544680290027E-10</v>
      </c>
      <c r="C223" s="4">
        <f t="shared" si="10"/>
        <v>2.6296710596352583E-11</v>
      </c>
      <c r="D223" s="5">
        <f t="shared" si="9"/>
        <v>2.6296710596352583E-11</v>
      </c>
      <c r="F223" s="3">
        <v>0.221</v>
      </c>
      <c r="G223" s="3">
        <v>4.0128325024805838</v>
      </c>
      <c r="H223" s="3" cm="1">
        <f t="array" ref="H223">SUM((_xlfn.NORM.DIST((F94:F222-F223),0,L223,TRUE)-_xlfn.NORM.DIST((F94:F222-F223-0.001),0,L223,TRUE))*(G94:G222+G224:G352))+G223*_xlfn.NORM.DIST(0,0,L223,TRUE)*2</f>
        <v>7.0080327274415275</v>
      </c>
      <c r="L223" s="3">
        <f t="shared" si="11"/>
        <v>3.0000000000000001E-3</v>
      </c>
    </row>
    <row r="224" spans="1:12" x14ac:dyDescent="0.4">
      <c r="A224" s="3">
        <v>-0.31100000000000005</v>
      </c>
      <c r="B224" s="3">
        <v>2.4857744081529832E-10</v>
      </c>
      <c r="C224" s="4">
        <f t="shared" si="10"/>
        <v>2.979199401239805E-11</v>
      </c>
      <c r="D224" s="5">
        <f t="shared" si="9"/>
        <v>2.979199401239805E-11</v>
      </c>
      <c r="F224" s="3">
        <v>0.222</v>
      </c>
      <c r="G224" s="3">
        <v>4.0128325024845122</v>
      </c>
      <c r="H224" s="3" cm="1">
        <f t="array" ref="H224">SUM((_xlfn.NORM.DIST((F95:F223-F224),0,L224,TRUE)-_xlfn.NORM.DIST((F95:F223-F224-0.001),0,L224,TRUE))*(G95:G223+G225:G353))+G224*_xlfn.NORM.DIST(0,0,L224,TRUE)*2</f>
        <v>7.0045763621527559</v>
      </c>
      <c r="L224" s="3">
        <f t="shared" si="11"/>
        <v>3.0000000000000001E-3</v>
      </c>
    </row>
    <row r="225" spans="1:12" x14ac:dyDescent="0.4">
      <c r="A225" s="3">
        <v>-0.31000000000000005</v>
      </c>
      <c r="B225" s="3">
        <v>2.823158037043248E-10</v>
      </c>
      <c r="C225" s="4">
        <f t="shared" si="10"/>
        <v>3.373836288902648E-11</v>
      </c>
      <c r="D225" s="5">
        <f t="shared" si="9"/>
        <v>3.373836288902648E-11</v>
      </c>
      <c r="F225" s="3">
        <v>0.223</v>
      </c>
      <c r="G225" s="3">
        <v>4.0128325024840086</v>
      </c>
      <c r="H225" s="3" cm="1">
        <f t="array" ref="H225">SUM((_xlfn.NORM.DIST((F96:F224-F225),0,L225,TRUE)-_xlfn.NORM.DIST((F96:F224-F225-0.001),0,L225,TRUE))*(G96:G224+G226:G354))+G225*_xlfn.NORM.DIST(0,0,L225,TRUE)*2</f>
        <v>7.0000488743385905</v>
      </c>
      <c r="L225" s="3">
        <f t="shared" si="11"/>
        <v>3.0000000000000001E-3</v>
      </c>
    </row>
    <row r="226" spans="1:12" x14ac:dyDescent="0.4">
      <c r="A226" s="3">
        <v>-0.30900000000000005</v>
      </c>
      <c r="B226" s="3">
        <v>3.2050800813733871E-10</v>
      </c>
      <c r="C226" s="4">
        <f t="shared" si="10"/>
        <v>3.8192204433013908E-11</v>
      </c>
      <c r="D226" s="5">
        <f t="shared" si="9"/>
        <v>3.8192204433013908E-11</v>
      </c>
      <c r="F226" s="3">
        <v>0.224</v>
      </c>
      <c r="G226" s="3">
        <v>3.9911185917235472</v>
      </c>
      <c r="H226" s="3" cm="1">
        <f t="array" ref="H226">SUM((_xlfn.NORM.DIST((F97:F225-F226),0,L226,TRUE)-_xlfn.NORM.DIST((F97:F225-F226-0.001),0,L226,TRUE))*(G97:G225+G227:G355))+G226*_xlfn.NORM.DIST(0,0,L226,TRUE)*2</f>
        <v>6.9734760549013037</v>
      </c>
      <c r="L226" s="3">
        <f t="shared" si="11"/>
        <v>3.0000000000000001E-3</v>
      </c>
    </row>
    <row r="227" spans="1:12" x14ac:dyDescent="0.4">
      <c r="A227" s="3">
        <v>-0.30800000000000005</v>
      </c>
      <c r="B227" s="3">
        <v>3.6372472148406583E-10</v>
      </c>
      <c r="C227" s="4">
        <f t="shared" si="10"/>
        <v>4.3216713346727116E-11</v>
      </c>
      <c r="D227" s="5">
        <f t="shared" si="9"/>
        <v>4.3216713346727116E-11</v>
      </c>
      <c r="F227" s="3">
        <v>0.22500000000000001</v>
      </c>
      <c r="G227" s="3">
        <v>3.9143027754676836</v>
      </c>
      <c r="H227" s="3" cm="1">
        <f t="array" ref="H227">SUM((_xlfn.NORM.DIST((F98:F226-F227),0,L227,TRUE)-_xlfn.NORM.DIST((F98:F226-F227-0.001),0,L227,TRUE))*(G98:G226+G228:G356))+G227*_xlfn.NORM.DIST(0,0,L227,TRUE)*2</f>
        <v>6.8892036891249298</v>
      </c>
      <c r="L227" s="3">
        <f t="shared" si="11"/>
        <v>3.0000000000000001E-3</v>
      </c>
    </row>
    <row r="228" spans="1:12" x14ac:dyDescent="0.4">
      <c r="A228" s="3">
        <v>-0.30700000000000005</v>
      </c>
      <c r="B228" s="3">
        <v>4.1260740423967616E-10</v>
      </c>
      <c r="C228" s="4">
        <f t="shared" si="10"/>
        <v>4.8882682755610336E-11</v>
      </c>
      <c r="D228" s="5">
        <f t="shared" si="9"/>
        <v>4.8882682755610336E-11</v>
      </c>
      <c r="F228" s="3">
        <v>0.22600000000000001</v>
      </c>
      <c r="G228" s="3">
        <v>3.8431970779276363</v>
      </c>
      <c r="H228" s="3" cm="1">
        <f t="array" ref="H228">SUM((_xlfn.NORM.DIST((F99:F227-F228),0,L228,TRUE)-_xlfn.NORM.DIST((F99:F227-F228-0.001),0,L228,TRUE))*(G99:G227+G229:G357))+G228*_xlfn.NORM.DIST(0,0,L228,TRUE)*2</f>
        <v>6.8021898239960539</v>
      </c>
      <c r="L228" s="3">
        <f t="shared" si="11"/>
        <v>3.0000000000000001E-3</v>
      </c>
    </row>
    <row r="229" spans="1:12" x14ac:dyDescent="0.4">
      <c r="A229" s="3">
        <v>-0.30600000000000005</v>
      </c>
      <c r="B229" s="3">
        <v>4.6787678741815767E-10</v>
      </c>
      <c r="C229" s="4">
        <f t="shared" si="10"/>
        <v>5.5269383178481503E-11</v>
      </c>
      <c r="D229" s="5">
        <f t="shared" si="9"/>
        <v>5.5269383178481503E-11</v>
      </c>
      <c r="F229" s="3">
        <v>0.22700000000000001</v>
      </c>
      <c r="G229" s="3">
        <v>3.7771876212879856</v>
      </c>
      <c r="H229" s="3" cm="1">
        <f t="array" ref="H229">SUM((_xlfn.NORM.DIST((F100:F228-F229),0,L229,TRUE)-_xlfn.NORM.DIST((F100:F228-F229-0.001),0,L229,TRUE))*(G100:G228+G230:G358))+G229*_xlfn.NORM.DIST(0,0,L229,TRUE)*2</f>
        <v>6.7143595407494194</v>
      </c>
      <c r="L229" s="3">
        <f t="shared" si="11"/>
        <v>3.0000000000000001E-3</v>
      </c>
    </row>
    <row r="230" spans="1:12" x14ac:dyDescent="0.4">
      <c r="A230" s="3">
        <v>-0.30500000000000005</v>
      </c>
      <c r="B230" s="3">
        <v>5.3034232629488091E-10</v>
      </c>
      <c r="C230" s="4">
        <f t="shared" si="10"/>
        <v>6.246553887672324E-11</v>
      </c>
      <c r="D230" s="5">
        <f t="shared" si="9"/>
        <v>6.246553887672324E-11</v>
      </c>
      <c r="F230" s="3">
        <v>0.22800000000000001</v>
      </c>
      <c r="G230" s="3">
        <v>3.7157454783615615</v>
      </c>
      <c r="H230" s="3" cm="1">
        <f t="array" ref="H230">SUM((_xlfn.NORM.DIST((F101:F229-F230),0,L230,TRUE)-_xlfn.NORM.DIST((F101:F229-F230-0.001),0,L230,TRUE))*(G101:G229+G231:G359))+G230*_xlfn.NORM.DIST(0,0,L230,TRUE)*2</f>
        <v>6.6276292810502433</v>
      </c>
      <c r="L230" s="3">
        <f t="shared" si="11"/>
        <v>3.0000000000000001E-3</v>
      </c>
    </row>
    <row r="231" spans="1:12" x14ac:dyDescent="0.4">
      <c r="A231" s="3">
        <v>-0.30400000000000005</v>
      </c>
      <c r="B231" s="3">
        <v>6.009127381488385E-10</v>
      </c>
      <c r="C231" s="4">
        <f t="shared" si="10"/>
        <v>7.0570411853957593E-11</v>
      </c>
      <c r="D231" s="5">
        <f t="shared" si="9"/>
        <v>7.0570411853957593E-11</v>
      </c>
      <c r="F231" s="3">
        <v>0.22900000000000001</v>
      </c>
      <c r="G231" s="3">
        <v>3.6584124692439164</v>
      </c>
      <c r="H231" s="3" cm="1">
        <f t="array" ref="H231">SUM((_xlfn.NORM.DIST((F102:F230-F231),0,L231,TRUE)-_xlfn.NORM.DIST((F102:F230-F231-0.001),0,L231,TRUE))*(G102:G230+G232:G360))+G231*_xlfn.NORM.DIST(0,0,L231,TRUE)*2</f>
        <v>6.5435296689795104</v>
      </c>
      <c r="L231" s="3">
        <f t="shared" si="11"/>
        <v>3.0000000000000001E-3</v>
      </c>
    </row>
    <row r="232" spans="1:12" x14ac:dyDescent="0.4">
      <c r="A232" s="3">
        <v>-0.30300000000000005</v>
      </c>
      <c r="B232" s="3">
        <v>6.8060774295041392E-10</v>
      </c>
      <c r="C232" s="4">
        <f t="shared" si="10"/>
        <v>7.9695004801575422E-11</v>
      </c>
      <c r="D232" s="5">
        <f t="shared" si="9"/>
        <v>7.9695004801575422E-11</v>
      </c>
      <c r="F232" s="3">
        <v>0.23</v>
      </c>
      <c r="G232" s="3">
        <v>3.6047897154595208</v>
      </c>
      <c r="H232" s="3" cm="1">
        <f t="array" ref="H232">SUM((_xlfn.NORM.DIST((F103:F231-F232),0,L232,TRUE)-_xlfn.NORM.DIST((F103:F231-F232-0.001),0,L232,TRUE))*(G103:G231+G233:G361))+G232*_xlfn.NORM.DIST(0,0,L232,TRUE)*2</f>
        <v>6.4630399604531954</v>
      </c>
      <c r="L232" s="3">
        <f t="shared" si="11"/>
        <v>3.0000000000000001E-3</v>
      </c>
    </row>
    <row r="233" spans="1:12" x14ac:dyDescent="0.4">
      <c r="A233" s="3">
        <v>-0.30200000000000005</v>
      </c>
      <c r="B233" s="3">
        <v>7.7057113835424266E-10</v>
      </c>
      <c r="C233" s="4">
        <f t="shared" si="10"/>
        <v>8.9963395403828742E-11</v>
      </c>
      <c r="D233" s="5">
        <f t="shared" si="9"/>
        <v>8.9963395403828742E-11</v>
      </c>
      <c r="F233" s="3">
        <v>0.23100000000000001</v>
      </c>
      <c r="G233" s="3">
        <v>3.5545283465631572</v>
      </c>
      <c r="H233" s="3" cm="1">
        <f t="array" ref="H233">SUM((_xlfn.NORM.DIST((F104:F232-F233),0,L233,TRUE)-_xlfn.NORM.DIST((F104:F232-F233-0.001),0,L233,TRUE))*(G104:G232+G234:G362))+G233*_xlfn.NORM.DIST(0,0,L233,TRUE)*2</f>
        <v>6.3866191691052991</v>
      </c>
      <c r="L233" s="3">
        <f t="shared" si="11"/>
        <v>3.0000000000000001E-3</v>
      </c>
    </row>
    <row r="234" spans="1:12" x14ac:dyDescent="0.4">
      <c r="A234" s="3">
        <v>-0.30100000000000005</v>
      </c>
      <c r="B234" s="3">
        <v>8.7208535399296429E-10</v>
      </c>
      <c r="C234" s="4">
        <f t="shared" si="10"/>
        <v>1.0151421563872163E-10</v>
      </c>
      <c r="D234" s="5">
        <f t="shared" si="9"/>
        <v>1.0151421563872163E-10</v>
      </c>
      <c r="F234" s="3">
        <v>0.23200000000000001</v>
      </c>
      <c r="G234" s="3">
        <v>3.5073219013075865</v>
      </c>
      <c r="H234" s="3" cm="1">
        <f t="array" ref="H234">SUM((_xlfn.NORM.DIST((F105:F233-F234),0,L234,TRUE)-_xlfn.NORM.DIST((F105:F233-F234-0.001),0,L234,TRUE))*(G105:G233+G235:G363))+G234*_xlfn.NORM.DIST(0,0,L234,TRUE)*2</f>
        <v>6.3143451843845124</v>
      </c>
      <c r="L234" s="3">
        <f t="shared" si="11"/>
        <v>3.0000000000000001E-3</v>
      </c>
    </row>
    <row r="235" spans="1:12" x14ac:dyDescent="0.4">
      <c r="A235" s="3">
        <v>-0.30000000000000004</v>
      </c>
      <c r="B235" s="3">
        <v>9.8658764503769437E-10</v>
      </c>
      <c r="C235" s="4">
        <f t="shared" si="10"/>
        <v>1.1450229104473008E-10</v>
      </c>
      <c r="D235" s="5">
        <f t="shared" si="9"/>
        <v>1.1450229104473008E-10</v>
      </c>
      <c r="F235" s="3">
        <v>0.23300000000000001</v>
      </c>
      <c r="G235" s="3">
        <v>3.4629000735813569</v>
      </c>
      <c r="H235" s="3" cm="1">
        <f t="array" ref="H235">SUM((_xlfn.NORM.DIST((F106:F234-F235),0,L235,TRUE)-_xlfn.NORM.DIST((F106:F234-F235-0.001),0,L235,TRUE))*(G106:G234+G236:G364))+G235*_xlfn.NORM.DIST(0,0,L235,TRUE)*2</f>
        <v>6.2460712194626549</v>
      </c>
      <c r="L235" s="3">
        <f t="shared" si="11"/>
        <v>3.0000000000000001E-3</v>
      </c>
    </row>
    <row r="236" spans="1:12" x14ac:dyDescent="0.4">
      <c r="A236" s="3">
        <v>-0.29900000000000004</v>
      </c>
      <c r="B236" s="3">
        <v>1.1156881014171592E-9</v>
      </c>
      <c r="C236" s="4">
        <f t="shared" si="10"/>
        <v>1.2910045637946487E-10</v>
      </c>
      <c r="D236" s="5">
        <f t="shared" si="9"/>
        <v>1.2910045637946487E-10</v>
      </c>
      <c r="F236" s="3">
        <v>0.23400000000000001</v>
      </c>
      <c r="G236" s="3">
        <v>3.4210235333384884</v>
      </c>
      <c r="H236" s="3" cm="1">
        <f t="array" ref="H236">SUM((_xlfn.NORM.DIST((F107:F235-F236),0,L236,TRUE)-_xlfn.NORM.DIST((F107:F235-F236-0.001),0,L236,TRUE))*(G107:G235+G237:G365))+G236*_xlfn.NORM.DIST(0,0,L236,TRUE)*2</f>
        <v>6.1815471467437364</v>
      </c>
      <c r="L236" s="3">
        <f t="shared" si="11"/>
        <v>3.0000000000000001E-3</v>
      </c>
    </row>
    <row r="237" spans="1:12" x14ac:dyDescent="0.4">
      <c r="A237" s="3">
        <v>-0.29800000000000004</v>
      </c>
      <c r="B237" s="3">
        <v>1.26118966710108E-9</v>
      </c>
      <c r="C237" s="4">
        <f t="shared" si="10"/>
        <v>1.455015656839208E-10</v>
      </c>
      <c r="D237" s="5">
        <f t="shared" si="9"/>
        <v>1.455015656839208E-10</v>
      </c>
      <c r="F237" s="3">
        <v>0.23500000000000001</v>
      </c>
      <c r="G237" s="3">
        <v>3.3814796129962166</v>
      </c>
      <c r="H237" s="3" cm="1">
        <f t="array" ref="H237">SUM((_xlfn.NORM.DIST((F108:F236-F237),0,L237,TRUE)-_xlfn.NORM.DIST((F108:F236-F237-0.001),0,L237,TRUE))*(G108:G236+G238:G366))+G237*_xlfn.NORM.DIST(0,0,L237,TRUE)*2</f>
        <v>6.1204933041679102</v>
      </c>
      <c r="L237" s="3">
        <f t="shared" si="11"/>
        <v>3.0000000000000001E-3</v>
      </c>
    </row>
    <row r="238" spans="1:12" x14ac:dyDescent="0.4">
      <c r="A238" s="3">
        <v>-0.29700000000000004</v>
      </c>
      <c r="B238" s="3">
        <v>1.4251103835965547E-9</v>
      </c>
      <c r="C238" s="4">
        <f t="shared" si="10"/>
        <v>1.6392071649547469E-10</v>
      </c>
      <c r="D238" s="5">
        <f t="shared" si="9"/>
        <v>1.6392071649547469E-10</v>
      </c>
      <c r="F238" s="3">
        <v>0.23600000000000002</v>
      </c>
      <c r="G238" s="3">
        <v>3.344078695160301</v>
      </c>
      <c r="H238" s="3" cm="1">
        <f t="array" ref="H238">SUM((_xlfn.NORM.DIST((F109:F237-F238),0,L238,TRUE)-_xlfn.NORM.DIST((F109:F237-F238-0.001),0,L238,TRUE))*(G109:G237+G239:G367))+G238*_xlfn.NORM.DIST(0,0,L238,TRUE)*2</f>
        <v>6.0626367500319667</v>
      </c>
      <c r="L238" s="3">
        <f t="shared" si="11"/>
        <v>3.0000000000000001E-3</v>
      </c>
    </row>
    <row r="239" spans="1:12" x14ac:dyDescent="0.4">
      <c r="A239" s="3">
        <v>-0.29600000000000004</v>
      </c>
      <c r="B239" s="3">
        <v>1.6097080934342299E-9</v>
      </c>
      <c r="C239" s="4">
        <f t="shared" si="10"/>
        <v>1.8459770983767521E-10</v>
      </c>
      <c r="D239" s="5">
        <f t="shared" si="9"/>
        <v>1.8459770983767521E-10</v>
      </c>
      <c r="F239" s="3">
        <v>0.23700000000000002</v>
      </c>
      <c r="G239" s="3">
        <v>3.3086511720882057</v>
      </c>
      <c r="H239" s="3" cm="1">
        <f t="array" ref="H239">SUM((_xlfn.NORM.DIST((F110:F238-F239),0,L239,TRUE)-_xlfn.NORM.DIST((F110:F238-F239-0.001),0,L239,TRUE))*(G110:G238+G240:G368))+G239*_xlfn.NORM.DIST(0,0,L239,TRUE)*2</f>
        <v>6.007725122448015</v>
      </c>
      <c r="L239" s="3">
        <f t="shared" si="11"/>
        <v>3.0000000000000001E-3</v>
      </c>
    </row>
    <row r="240" spans="1:12" x14ac:dyDescent="0.4">
      <c r="A240" s="3">
        <v>-0.29500000000000004</v>
      </c>
      <c r="B240" s="3">
        <v>1.8175078630994233E-9</v>
      </c>
      <c r="C240" s="4">
        <f t="shared" si="10"/>
        <v>2.0779976966519333E-10</v>
      </c>
      <c r="D240" s="5">
        <f t="shared" si="9"/>
        <v>2.0779976966519333E-10</v>
      </c>
      <c r="F240" s="3">
        <v>0.23800000000000002</v>
      </c>
      <c r="G240" s="3">
        <v>3.2750448741242679</v>
      </c>
      <c r="H240" s="3" cm="1">
        <f t="array" ref="H240">SUM((_xlfn.NORM.DIST((F111:F239-F240),0,L240,TRUE)-_xlfn.NORM.DIST((F111:F239-F240-0.001),0,L240,TRUE))*(G111:G239+G241:G369))+G240*_xlfn.NORM.DIST(0,0,L240,TRUE)*2</f>
        <v>5.9555297536720975</v>
      </c>
      <c r="L240" s="3">
        <f t="shared" si="11"/>
        <v>3.0000000000000001E-3</v>
      </c>
    </row>
    <row r="241" spans="1:12" x14ac:dyDescent="0.4">
      <c r="A241" s="3">
        <v>-0.29400000000000004</v>
      </c>
      <c r="B241" s="3">
        <v>2.0513324107725755E-9</v>
      </c>
      <c r="C241" s="4">
        <f t="shared" si="10"/>
        <v>2.3382454767315224E-10</v>
      </c>
      <c r="D241" s="5">
        <f t="shared" si="9"/>
        <v>2.3382454767315224E-10</v>
      </c>
      <c r="F241" s="3">
        <v>0.23900000000000002</v>
      </c>
      <c r="G241" s="3">
        <v>3.2431228847414308</v>
      </c>
      <c r="H241" s="3" cm="1">
        <f t="array" ref="H241">SUM((_xlfn.NORM.DIST((F112:F240-F241),0,L241,TRUE)-_xlfn.NORM.DIST((F112:F240-F241-0.001),0,L241,TRUE))*(G112:G240+G242:G370))+G241*_xlfn.NORM.DIST(0,0,L241,TRUE)*2</f>
        <v>5.905844619655741</v>
      </c>
      <c r="L241" s="3">
        <f t="shared" si="11"/>
        <v>3.0000000000000001E-3</v>
      </c>
    </row>
    <row r="242" spans="1:12" x14ac:dyDescent="0.4">
      <c r="A242" s="3">
        <v>-0.29300000000000004</v>
      </c>
      <c r="B242" s="3">
        <v>2.3143358525785495E-9</v>
      </c>
      <c r="C242" s="4">
        <f t="shared" si="10"/>
        <v>2.6300344180597396E-10</v>
      </c>
      <c r="D242" s="5">
        <f t="shared" si="9"/>
        <v>2.6300344180597396E-10</v>
      </c>
      <c r="F242" s="3">
        <v>0.24</v>
      </c>
      <c r="G242" s="3">
        <v>3.2127616760955719</v>
      </c>
      <c r="H242" s="3" cm="1">
        <f t="array" ref="H242">SUM((_xlfn.NORM.DIST((F113:F241-F242),0,L242,TRUE)-_xlfn.NORM.DIST((F113:F241-F242-0.001),0,L242,TRUE))*(G113:G241+G243:G371))+G242*_xlfn.NORM.DIST(0,0,L242,TRUE)*2</f>
        <v>5.8584840965513436</v>
      </c>
      <c r="L242" s="3">
        <f t="shared" si="11"/>
        <v>3.0000000000000001E-3</v>
      </c>
    </row>
    <row r="243" spans="1:12" x14ac:dyDescent="0.4">
      <c r="A243" s="3">
        <v>-0.29200000000000004</v>
      </c>
      <c r="B243" s="3">
        <v>2.6100411120128923E-9</v>
      </c>
      <c r="C243" s="4">
        <f t="shared" si="10"/>
        <v>2.9570525943434286E-10</v>
      </c>
      <c r="D243" s="5">
        <f t="shared" si="9"/>
        <v>2.9570525943434286E-10</v>
      </c>
      <c r="F243" s="3">
        <v>0.24099999999999999</v>
      </c>
      <c r="G243" s="3">
        <v>3.183849511520906</v>
      </c>
      <c r="H243" s="3" cm="1">
        <f t="array" ref="H243">SUM((_xlfn.NORM.DIST((F114:F242-F243),0,L243,TRUE)-_xlfn.NORM.DIST((F114:F242-F243-0.001),0,L243,TRUE))*(G114:G242+G244:G372))+G243*_xlfn.NORM.DIST(0,0,L243,TRUE)*2</f>
        <v>5.8132806195107198</v>
      </c>
      <c r="L243" s="3">
        <f t="shared" si="11"/>
        <v>3.0000000000000001E-3</v>
      </c>
    </row>
    <row r="244" spans="1:12" x14ac:dyDescent="0.4">
      <c r="A244" s="3">
        <v>-0.29100000000000004</v>
      </c>
      <c r="B244" s="3">
        <v>2.9423813710443573E-9</v>
      </c>
      <c r="C244" s="4">
        <f t="shared" si="10"/>
        <v>3.3234025903146501E-10</v>
      </c>
      <c r="D244" s="5">
        <f t="shared" si="9"/>
        <v>3.3234025903146501E-10</v>
      </c>
      <c r="F244" s="3">
        <v>0.24199999999999999</v>
      </c>
      <c r="G244" s="3">
        <v>3.1562850714459296</v>
      </c>
      <c r="H244" s="3" cm="1">
        <f t="array" ref="H244">SUM((_xlfn.NORM.DIST((F115:F243-F244),0,L244,TRUE)-_xlfn.NORM.DIST((F115:F243-F244-0.001),0,L244,TRUE))*(G115:G243+G245:G373))+G244*_xlfn.NORM.DIST(0,0,L244,TRUE)*2</f>
        <v>5.7700825601457861</v>
      </c>
      <c r="L244" s="3">
        <f t="shared" si="11"/>
        <v>3.0000000000000001E-3</v>
      </c>
    </row>
    <row r="245" spans="1:12" x14ac:dyDescent="0.4">
      <c r="A245" s="3">
        <v>-0.29000000000000004</v>
      </c>
      <c r="B245" s="3">
        <v>3.3157459783261356E-9</v>
      </c>
      <c r="C245" s="4">
        <f t="shared" si="10"/>
        <v>3.7336460728177832E-10</v>
      </c>
      <c r="D245" s="5">
        <f t="shared" si="9"/>
        <v>3.7336460728177832E-10</v>
      </c>
      <c r="F245" s="3">
        <v>0.24299999999999999</v>
      </c>
      <c r="G245" s="3">
        <v>3.1299762670539168</v>
      </c>
      <c r="H245" s="3" cm="1">
        <f t="array" ref="H245">SUM((_xlfn.NORM.DIST((F116:F244-F245),0,L245,TRUE)-_xlfn.NORM.DIST((F116:F244-F245-0.001),0,L245,TRUE))*(G116:G244+G246:G374))+G245*_xlfn.NORM.DIST(0,0,L245,TRUE)*2</f>
        <v>5.7287523736072217</v>
      </c>
      <c r="L245" s="3">
        <f t="shared" si="11"/>
        <v>3.0000000000000001E-3</v>
      </c>
    </row>
    <row r="246" spans="1:12" x14ac:dyDescent="0.4">
      <c r="A246" s="3">
        <v>-0.28900000000000003</v>
      </c>
      <c r="B246" s="3">
        <v>3.7350312702497388E-9</v>
      </c>
      <c r="C246" s="4">
        <f t="shared" si="10"/>
        <v>4.1928529192360315E-10</v>
      </c>
      <c r="D246" s="5">
        <f t="shared" si="9"/>
        <v>4.1928529192360315E-10</v>
      </c>
      <c r="F246" s="3">
        <v>0.24399999999999999</v>
      </c>
      <c r="G246" s="3">
        <v>3.1048392125008353</v>
      </c>
      <c r="H246" s="3" cm="1">
        <f t="array" ref="H246">SUM((_xlfn.NORM.DIST((F117:F245-F246),0,L246,TRUE)-_xlfn.NORM.DIST((F117:F245-F246-0.001),0,L246,TRUE))*(G117:G245+G247:G375))+G246*_xlfn.NORM.DIST(0,0,L246,TRUE)*2</f>
        <v>5.6891649939559636</v>
      </c>
      <c r="L246" s="3">
        <f t="shared" si="11"/>
        <v>3.0000000000000001E-3</v>
      </c>
    </row>
    <row r="247" spans="1:12" x14ac:dyDescent="0.4">
      <c r="A247" s="3">
        <v>-0.28800000000000003</v>
      </c>
      <c r="B247" s="3">
        <v>4.2056968045219961E-9</v>
      </c>
      <c r="C247" s="4">
        <f t="shared" si="10"/>
        <v>4.706655342722573E-10</v>
      </c>
      <c r="D247" s="5">
        <f t="shared" si="9"/>
        <v>4.706655342722573E-10</v>
      </c>
      <c r="F247" s="3">
        <v>0.245</v>
      </c>
      <c r="G247" s="3">
        <v>3.0807973314306989</v>
      </c>
      <c r="H247" s="3" cm="1">
        <f t="array" ref="H247">SUM((_xlfn.NORM.DIST((F118:F246-F247),0,L247,TRUE)-_xlfn.NORM.DIST((F118:F246-F247-0.001),0,L247,TRUE))*(G118:G246+G248:G376))+G247*_xlfn.NORM.DIST(0,0,L247,TRUE)*2</f>
        <v>5.6512064436103779</v>
      </c>
      <c r="L247" s="3">
        <f t="shared" si="11"/>
        <v>3.0000000000000001E-3</v>
      </c>
    </row>
    <row r="248" spans="1:12" x14ac:dyDescent="0.4">
      <c r="A248" s="3">
        <v>-0.28700000000000003</v>
      </c>
      <c r="B248" s="3">
        <v>4.7338275538455859E-9</v>
      </c>
      <c r="C248" s="4">
        <f t="shared" si="10"/>
        <v>5.2813074932358975E-10</v>
      </c>
      <c r="D248" s="5">
        <f t="shared" si="9"/>
        <v>5.2813074932358975E-10</v>
      </c>
      <c r="F248" s="3">
        <v>0.246</v>
      </c>
      <c r="G248" s="3">
        <v>3.0577805778028768</v>
      </c>
      <c r="H248" s="3" cm="1">
        <f t="array" ref="H248">SUM((_xlfn.NORM.DIST((F119:F247-F248),0,L248,TRUE)-_xlfn.NORM.DIST((F119:F247-F248-0.001),0,L248,TRUE))*(G119:G247+G249:G377))+G248*_xlfn.NORM.DIST(0,0,L248,TRUE)*2</f>
        <v>5.614772625010624</v>
      </c>
      <c r="L248" s="3">
        <f t="shared" si="11"/>
        <v>3.0000000000000001E-3</v>
      </c>
    </row>
    <row r="249" spans="1:12" x14ac:dyDescent="0.4">
      <c r="A249" s="3">
        <v>-0.28600000000000003</v>
      </c>
      <c r="B249" s="3">
        <v>5.3262026594554694E-9</v>
      </c>
      <c r="C249" s="4">
        <f t="shared" si="10"/>
        <v>5.9237510560988356E-10</v>
      </c>
      <c r="D249" s="5">
        <f t="shared" si="9"/>
        <v>5.9237510560988356E-10</v>
      </c>
      <c r="F249" s="3">
        <v>0.247</v>
      </c>
      <c r="G249" s="3">
        <v>3.0357247543043391</v>
      </c>
      <c r="H249" s="3" cm="1">
        <f t="array" ref="H249">SUM((_xlfn.NORM.DIST((F120:F248-F249),0,L249,TRUE)-_xlfn.NORM.DIST((F120:F248-F249-0.001),0,L249,TRUE))*(G120:G248+G250:G378))+G249*_xlfn.NORM.DIST(0,0,L249,TRUE)*2</f>
        <v>5.5797682672947566</v>
      </c>
      <c r="L249" s="3">
        <f t="shared" si="11"/>
        <v>3.0000000000000001E-3</v>
      </c>
    </row>
    <row r="250" spans="1:12" x14ac:dyDescent="0.4">
      <c r="A250" s="3">
        <v>-0.28500000000000003</v>
      </c>
      <c r="B250" s="3">
        <v>5.9903714010635288E-9</v>
      </c>
      <c r="C250" s="4">
        <f t="shared" si="10"/>
        <v>6.6416874160805934E-10</v>
      </c>
      <c r="D250" s="5">
        <f t="shared" si="9"/>
        <v>6.6416874160805934E-10</v>
      </c>
      <c r="F250" s="3">
        <v>0.248</v>
      </c>
      <c r="G250" s="3">
        <v>3.0145709143814172</v>
      </c>
      <c r="H250" s="3" cm="1">
        <f t="array" ref="H250">SUM((_xlfn.NORM.DIST((F121:F249-F250),0,L250,TRUE)-_xlfn.NORM.DIST((F121:F249-F250-0.001),0,L250,TRUE))*(G121:G249+G251:G379))+G250*_xlfn.NORM.DIST(0,0,L250,TRUE)*2</f>
        <v>5.5461060052490891</v>
      </c>
      <c r="L250" s="3">
        <f t="shared" si="11"/>
        <v>3.0000000000000001E-3</v>
      </c>
    </row>
    <row r="251" spans="1:12" x14ac:dyDescent="0.4">
      <c r="A251" s="3">
        <v>-0.28400000000000003</v>
      </c>
      <c r="B251" s="3">
        <v>6.7347371015574977E-9</v>
      </c>
      <c r="C251" s="4">
        <f t="shared" si="10"/>
        <v>7.4436570049396896E-10</v>
      </c>
      <c r="D251" s="5">
        <f t="shared" si="9"/>
        <v>7.4436570049396896E-10</v>
      </c>
      <c r="F251" s="3">
        <v>0.249</v>
      </c>
      <c r="G251" s="3">
        <v>2.9942648361620581</v>
      </c>
      <c r="H251" s="3" cm="1">
        <f t="array" ref="H251">SUM((_xlfn.NORM.DIST((F122:F250-F251),0,L251,TRUE)-_xlfn.NORM.DIST((F122:F250-F251-0.001),0,L251,TRUE))*(G122:G250+G252:G380))+G251*_xlfn.NORM.DIST(0,0,L251,TRUE)*2</f>
        <v>5.5137055715161916</v>
      </c>
      <c r="L251" s="3">
        <f t="shared" si="11"/>
        <v>3.0000000000000001E-3</v>
      </c>
    </row>
    <row r="252" spans="1:12" x14ac:dyDescent="0.4">
      <c r="A252" s="3">
        <v>-0.28300000000000003</v>
      </c>
      <c r="B252" s="3">
        <v>7.5686497519976824E-9</v>
      </c>
      <c r="C252" s="4">
        <f t="shared" si="10"/>
        <v>8.3391265044018466E-10</v>
      </c>
      <c r="D252" s="5">
        <f t="shared" si="9"/>
        <v>8.3391265044018466E-10</v>
      </c>
      <c r="F252" s="3">
        <v>0.25</v>
      </c>
      <c r="G252" s="3">
        <v>2.9747565584010069</v>
      </c>
      <c r="H252" s="3" cm="1">
        <f t="array" ref="H252">SUM((_xlfn.NORM.DIST((F123:F251-F252),0,L252,TRUE)-_xlfn.NORM.DIST((F123:F251-F252-0.001),0,L252,TRUE))*(G123:G251+G253:G381))+G252*_xlfn.NORM.DIST(0,0,L252,TRUE)*2</f>
        <v>5.482493086128148</v>
      </c>
      <c r="L252" s="3">
        <f t="shared" si="11"/>
        <v>3.0000000000000001E-3</v>
      </c>
    </row>
    <row r="253" spans="1:12" x14ac:dyDescent="0.4">
      <c r="A253" s="3">
        <v>-0.28200000000000003</v>
      </c>
      <c r="B253" s="3">
        <v>8.502508215474998E-9</v>
      </c>
      <c r="C253" s="4">
        <f t="shared" si="10"/>
        <v>9.3385846347731559E-10</v>
      </c>
      <c r="D253" s="5">
        <f t="shared" si="9"/>
        <v>9.3385846347731559E-10</v>
      </c>
      <c r="F253" s="3">
        <v>0.251</v>
      </c>
      <c r="G253" s="3">
        <v>2.9559999700455752</v>
      </c>
      <c r="H253" s="3" cm="1">
        <f t="array" ref="H253">SUM((_xlfn.NORM.DIST((F124:F252-F253),0,L253,TRUE)-_xlfn.NORM.DIST((F124:F252-F253-0.001),0,L253,TRUE))*(G124:G252+G254:G382))+G253*_xlfn.NORM.DIST(0,0,L253,TRUE)*2</f>
        <v>5.4524004298965494</v>
      </c>
      <c r="L253" s="3">
        <f t="shared" si="11"/>
        <v>3.0000000000000001E-3</v>
      </c>
    </row>
    <row r="254" spans="1:12" x14ac:dyDescent="0.4">
      <c r="A254" s="3">
        <v>-0.28100000000000003</v>
      </c>
      <c r="B254" s="3">
        <v>9.547872947704265E-9</v>
      </c>
      <c r="C254" s="4">
        <f t="shared" si="10"/>
        <v>1.045364732229267E-9</v>
      </c>
      <c r="D254" s="5">
        <f t="shared" si="9"/>
        <v>1.045364732229267E-9</v>
      </c>
      <c r="F254" s="3">
        <v>0.252</v>
      </c>
      <c r="G254" s="3">
        <v>2.9379524463608218</v>
      </c>
      <c r="H254" s="3" cm="1">
        <f t="array" ref="H254">SUM((_xlfn.NORM.DIST((F125:F253-F254),0,L254,TRUE)-_xlfn.NORM.DIST((F125:F253-F254-0.001),0,L254,TRUE))*(G125:G253+G255:G383))+G254*_xlfn.NORM.DIST(0,0,L254,TRUE)*2</f>
        <v>5.4233646903428792</v>
      </c>
      <c r="L254" s="3">
        <f t="shared" si="11"/>
        <v>3.0000000000000001E-3</v>
      </c>
    </row>
    <row r="255" spans="1:12" x14ac:dyDescent="0.4">
      <c r="A255" s="3">
        <v>-0.28000000000000003</v>
      </c>
      <c r="B255" s="3">
        <v>1.0717590258310852E-8</v>
      </c>
      <c r="C255" s="4">
        <f t="shared" si="10"/>
        <v>1.169717310606587E-9</v>
      </c>
      <c r="D255" s="5">
        <f t="shared" si="9"/>
        <v>1.169717310606587E-9</v>
      </c>
      <c r="F255" s="3">
        <v>0.253</v>
      </c>
      <c r="G255" s="3">
        <v>2.9205745255581688</v>
      </c>
      <c r="H255" s="3" cm="1">
        <f t="array" ref="H255">SUM((_xlfn.NORM.DIST((F126:F254-F255),0,L255,TRUE)-_xlfn.NORM.DIST((F126:F254-F255-0.001),0,L255,TRUE))*(G126:G254+G256:G384))+G255*_xlfn.NORM.DIST(0,0,L255,TRUE)*2</f>
        <v>5.3953276705346305</v>
      </c>
      <c r="L255" s="3">
        <f t="shared" si="11"/>
        <v>3.0000000000000001E-3</v>
      </c>
    </row>
    <row r="256" spans="1:12" x14ac:dyDescent="0.4">
      <c r="A256" s="3">
        <v>-0.27900000000000003</v>
      </c>
      <c r="B256" s="3">
        <v>1.2025929230154906E-8</v>
      </c>
      <c r="C256" s="4">
        <f t="shared" si="10"/>
        <v>1.3083389718440538E-9</v>
      </c>
      <c r="D256" s="5">
        <f t="shared" si="9"/>
        <v>1.3083389718440538E-9</v>
      </c>
      <c r="F256" s="3">
        <v>0.254</v>
      </c>
      <c r="G256" s="3">
        <v>2.9038296207465026</v>
      </c>
      <c r="H256" s="3" cm="1">
        <f t="array" ref="H256">SUM((_xlfn.NORM.DIST((F127:F255-F256),0,L256,TRUE)-_xlfn.NORM.DIST((F127:F255-F256-0.001),0,L256,TRUE))*(G127:G255+G257:G385))+G256*_xlfn.NORM.DIST(0,0,L256,TRUE)*2</f>
        <v>5.3682354526193397</v>
      </c>
      <c r="L256" s="3">
        <f t="shared" si="11"/>
        <v>3.0000000000000001E-3</v>
      </c>
    </row>
    <row r="257" spans="1:12" x14ac:dyDescent="0.4">
      <c r="A257" s="3">
        <v>-0.27800000000000002</v>
      </c>
      <c r="B257" s="3">
        <v>1.3488732515278362E-8</v>
      </c>
      <c r="C257" s="4">
        <f t="shared" si="10"/>
        <v>1.4628032851234559E-9</v>
      </c>
      <c r="D257" s="5">
        <f t="shared" si="9"/>
        <v>1.4628032851234559E-9</v>
      </c>
      <c r="F257" s="3">
        <v>0.255</v>
      </c>
      <c r="G257" s="3">
        <v>2.8876837628269931</v>
      </c>
      <c r="H257" s="3" cm="1">
        <f t="array" ref="H257">SUM((_xlfn.NORM.DIST((F128:F256-F257),0,L257,TRUE)-_xlfn.NORM.DIST((F128:F256-F257-0.001),0,L257,TRUE))*(G128:G256+G258:G386))+G257*_xlfn.NORM.DIST(0,0,L257,TRUE)*2</f>
        <v>5.3420380091086699</v>
      </c>
      <c r="L257" s="3">
        <f t="shared" si="11"/>
        <v>3.0000000000000001E-3</v>
      </c>
    </row>
    <row r="258" spans="1:12" x14ac:dyDescent="0.4">
      <c r="A258" s="3">
        <v>-0.27700000000000002</v>
      </c>
      <c r="B258" s="3">
        <v>1.5123582335760902E-8</v>
      </c>
      <c r="C258" s="4">
        <f t="shared" si="10"/>
        <v>1.63484982048254E-9</v>
      </c>
      <c r="D258" s="5">
        <f t="shared" ref="D258:D321" si="12">C258</f>
        <v>1.63484982048254E-9</v>
      </c>
      <c r="F258" s="3">
        <v>0.25600000000000001</v>
      </c>
      <c r="G258" s="3">
        <v>2.8721053704641184</v>
      </c>
      <c r="H258" s="3" cm="1">
        <f t="array" ref="H258">SUM((_xlfn.NORM.DIST((F129:F257-F258),0,L258,TRUE)-_xlfn.NORM.DIST((F129:F257-F258-0.001),0,L258,TRUE))*(G129:G257+G259:G387))+G258*_xlfn.NORM.DIST(0,0,L258,TRUE)*2</f>
        <v>5.3166888558632728</v>
      </c>
      <c r="L258" s="3">
        <f t="shared" si="11"/>
        <v>3.0000000000000001E-3</v>
      </c>
    </row>
    <row r="259" spans="1:12" x14ac:dyDescent="0.4">
      <c r="A259" s="3">
        <v>-0.27600000000000002</v>
      </c>
      <c r="B259" s="3">
        <v>1.6949983136550774E-8</v>
      </c>
      <c r="C259" s="4">
        <f t="shared" ref="C259:C322" si="13">B259-B258</f>
        <v>1.8264008007898728E-9</v>
      </c>
      <c r="D259" s="5">
        <f t="shared" si="12"/>
        <v>1.8264008007898728E-9</v>
      </c>
      <c r="F259" s="3">
        <v>0.25700000000000001</v>
      </c>
      <c r="G259" s="3">
        <v>2.8570650439162315</v>
      </c>
      <c r="H259" s="3" cm="1">
        <f t="array" ref="H259">SUM((_xlfn.NORM.DIST((F130:F258-F259),0,L259,TRUE)-_xlfn.NORM.DIST((F130:F258-F259-0.001),0,L259,TRUE))*(G130:G258+G260:G388))+G259*_xlfn.NORM.DIST(0,0,L259,TRUE)*2</f>
        <v>5.2921447416917484</v>
      </c>
      <c r="L259" s="3">
        <f t="shared" si="11"/>
        <v>3.0000000000000001E-3</v>
      </c>
    </row>
    <row r="260" spans="1:12" x14ac:dyDescent="0.4">
      <c r="A260" s="3">
        <v>-0.27500000000000002</v>
      </c>
      <c r="B260" s="3">
        <v>1.8989562465887691E-8</v>
      </c>
      <c r="C260" s="4">
        <f t="shared" si="13"/>
        <v>2.0395793293369169E-9</v>
      </c>
      <c r="D260" s="5">
        <f t="shared" si="12"/>
        <v>2.0395793293369169E-9</v>
      </c>
      <c r="F260" s="3">
        <v>0.25800000000000001</v>
      </c>
      <c r="G260" s="3">
        <v>2.842535379855573</v>
      </c>
      <c r="H260" s="3" cm="1">
        <f t="array" ref="H260">SUM((_xlfn.NORM.DIST((F131:F259-F260),0,L260,TRUE)-_xlfn.NORM.DIST((F131:F259-F260-0.001),0,L260,TRUE))*(G131:G259+G261:G389))+G260*_xlfn.NORM.DIST(0,0,L260,TRUE)*2</f>
        <v>5.268365370098417</v>
      </c>
      <c r="L260" s="3">
        <f t="shared" ref="L260:L323" si="14">L259</f>
        <v>3.0000000000000001E-3</v>
      </c>
    </row>
    <row r="261" spans="1:12" x14ac:dyDescent="0.4">
      <c r="A261" s="3">
        <v>-0.27400000000000002</v>
      </c>
      <c r="B261" s="3">
        <v>2.1266291797959025E-8</v>
      </c>
      <c r="C261" s="4">
        <f t="shared" si="13"/>
        <v>2.2767293320713334E-9</v>
      </c>
      <c r="D261" s="5">
        <f t="shared" si="12"/>
        <v>2.2767293320713334E-9</v>
      </c>
      <c r="F261" s="3">
        <v>0.25900000000000001</v>
      </c>
      <c r="G261" s="3">
        <v>2.8284908047275428</v>
      </c>
      <c r="H261" s="3" cm="1">
        <f t="array" ref="H261">SUM((_xlfn.NORM.DIST((F132:F260-F261),0,L261,TRUE)-_xlfn.NORM.DIST((F132:F260-F261-0.001),0,L261,TRUE))*(G132:G260+G262:G390))+G261*_xlfn.NORM.DIST(0,0,L261,TRUE)*2</f>
        <v>5.2453131493555247</v>
      </c>
      <c r="L261" s="3">
        <f t="shared" si="14"/>
        <v>3.0000000000000001E-3</v>
      </c>
    </row>
    <row r="262" spans="1:12" x14ac:dyDescent="0.4">
      <c r="A262" s="3">
        <v>-0.27300000000000002</v>
      </c>
      <c r="B262" s="3">
        <v>2.3806729162700347E-8</v>
      </c>
      <c r="C262" s="4">
        <f t="shared" si="13"/>
        <v>2.5404373647413225E-9</v>
      </c>
      <c r="D262" s="5">
        <f t="shared" si="12"/>
        <v>2.5404373647413225E-9</v>
      </c>
      <c r="F262" s="3">
        <v>0.26</v>
      </c>
      <c r="G262" s="3">
        <v>2.8149074245509573</v>
      </c>
      <c r="H262" s="3" cm="1">
        <f t="array" ref="H262">SUM((_xlfn.NORM.DIST((F133:F261-F262),0,L262,TRUE)-_xlfn.NORM.DIST((F133:F261-F262-0.001),0,L262,TRUE))*(G133:G261+G263:G391))+G262*_xlfn.NORM.DIST(0,0,L262,TRUE)*2</f>
        <v>5.2229529676173598</v>
      </c>
      <c r="L262" s="3">
        <f t="shared" si="14"/>
        <v>3.0000000000000001E-3</v>
      </c>
    </row>
    <row r="263" spans="1:12" x14ac:dyDescent="0.4">
      <c r="A263" s="3">
        <v>-0.27200000000000002</v>
      </c>
      <c r="B263" s="3">
        <v>2.6640285609967104E-8</v>
      </c>
      <c r="C263" s="4">
        <f t="shared" si="13"/>
        <v>2.8335564472667562E-9</v>
      </c>
      <c r="D263" s="5">
        <f t="shared" si="12"/>
        <v>2.8335564472667562E-9</v>
      </c>
      <c r="F263" s="3">
        <v>0.26100000000000001</v>
      </c>
      <c r="G263" s="3">
        <v>2.8017628892521378</v>
      </c>
      <c r="H263" s="3" cm="1">
        <f t="array" ref="H263">SUM((_xlfn.NORM.DIST((F134:F262-F263),0,L263,TRUE)-_xlfn.NORM.DIST((F134:F262-F263-0.001),0,L263,TRUE))*(G134:G262+G264:G392))+G263*_xlfn.NORM.DIST(0,0,L263,TRUE)*2</f>
        <v>5.2012519901506327</v>
      </c>
      <c r="L263" s="3">
        <f t="shared" si="14"/>
        <v>3.0000000000000001E-3</v>
      </c>
    </row>
    <row r="264" spans="1:12" x14ac:dyDescent="0.4">
      <c r="A264" s="3">
        <v>-0.27100000000000002</v>
      </c>
      <c r="B264" s="3">
        <v>2.9799517710536272E-8</v>
      </c>
      <c r="C264" s="4">
        <f t="shared" si="13"/>
        <v>3.159232100569168E-9</v>
      </c>
      <c r="D264" s="5">
        <f t="shared" si="12"/>
        <v>3.159232100569168E-9</v>
      </c>
      <c r="F264" s="3">
        <v>0.26200000000000001</v>
      </c>
      <c r="G264" s="3">
        <v>2.7890362699458815</v>
      </c>
      <c r="H264" s="3" cm="1">
        <f t="array" ref="H264">SUM((_xlfn.NORM.DIST((F135:F263-F264),0,L264,TRUE)-_xlfn.NORM.DIST((F135:F263-F264-0.001),0,L264,TRUE))*(G135:G263+G265:G393))+G264*_xlfn.NORM.DIST(0,0,L264,TRUE)*2</f>
        <v>5.1801794762050886</v>
      </c>
      <c r="L264" s="3">
        <f t="shared" si="14"/>
        <v>3.0000000000000001E-3</v>
      </c>
    </row>
    <row r="265" spans="1:12" x14ac:dyDescent="0.4">
      <c r="A265" s="3">
        <v>-0.27</v>
      </c>
      <c r="B265" s="3">
        <v>3.3320448485428455E-8</v>
      </c>
      <c r="C265" s="4">
        <f t="shared" si="13"/>
        <v>3.5209307748921832E-9</v>
      </c>
      <c r="D265" s="5">
        <f t="shared" si="12"/>
        <v>3.5209307748921832E-9</v>
      </c>
      <c r="F265" s="3">
        <v>0.26300000000000001</v>
      </c>
      <c r="G265" s="3">
        <v>2.7767079477472492</v>
      </c>
      <c r="H265" s="3" cm="1">
        <f t="array" ref="H265">SUM((_xlfn.NORM.DIST((F136:F264-F265),0,L265,TRUE)-_xlfn.NORM.DIST((F136:F264-F265-0.001),0,L265,TRUE))*(G136:G264+G266:G394))+G265*_xlfn.NORM.DIST(0,0,L265,TRUE)*2</f>
        <v>5.1597066133408003</v>
      </c>
      <c r="L265" s="3">
        <f t="shared" si="14"/>
        <v>3.0000000000000001E-3</v>
      </c>
    </row>
    <row r="266" spans="1:12" x14ac:dyDescent="0.4">
      <c r="A266" s="3">
        <v>-0.26900000000000002</v>
      </c>
      <c r="B266" s="3">
        <v>3.7242919358871027E-8</v>
      </c>
      <c r="C266" s="4">
        <f t="shared" si="13"/>
        <v>3.9224708734425722E-9</v>
      </c>
      <c r="D266" s="5">
        <f t="shared" si="12"/>
        <v>3.9224708734425722E-9</v>
      </c>
      <c r="F266" s="3">
        <v>0.26400000000000001</v>
      </c>
      <c r="G266" s="3">
        <v>2.7647595128499622</v>
      </c>
      <c r="H266" s="3" cm="1">
        <f t="array" ref="H266">SUM((_xlfn.NORM.DIST((F137:F265-F266),0,L266,TRUE)-_xlfn.NORM.DIST((F137:F265-F266-0.001),0,L266,TRUE))*(G137:G265+G267:G395))+G266*_xlfn.NORM.DIST(0,0,L266,TRUE)*2</f>
        <v>5.139806367278962</v>
      </c>
      <c r="L266" s="3">
        <f t="shared" si="14"/>
        <v>3.0000000000000001E-3</v>
      </c>
    </row>
    <row r="267" spans="1:12" x14ac:dyDescent="0.4">
      <c r="A267" s="3">
        <v>-0.26800000000000002</v>
      </c>
      <c r="B267" s="3">
        <v>4.1610975949819618E-8</v>
      </c>
      <c r="C267" s="4">
        <f t="shared" si="13"/>
        <v>4.3680565909485907E-9</v>
      </c>
      <c r="D267" s="5">
        <f t="shared" si="12"/>
        <v>4.3680565909485907E-9</v>
      </c>
      <c r="F267" s="3">
        <v>0.26500000000000001</v>
      </c>
      <c r="G267" s="3">
        <v>2.7531736728018421</v>
      </c>
      <c r="H267" s="3" cm="1">
        <f t="array" ref="H267">SUM((_xlfn.NORM.DIST((F138:F266-F267),0,L267,TRUE)-_xlfn.NORM.DIST((F138:F266-F267-0.001),0,L267,TRUE))*(G138:G266+G268:G396))+G267*_xlfn.NORM.DIST(0,0,L267,TRUE)*2</f>
        <v>5.1204533456219314</v>
      </c>
      <c r="L267" s="3">
        <f t="shared" si="14"/>
        <v>3.0000000000000001E-3</v>
      </c>
    </row>
    <row r="268" spans="1:12" x14ac:dyDescent="0.4">
      <c r="A268" s="3">
        <v>-0.26700000000000002</v>
      </c>
      <c r="B268" s="3">
        <v>4.6473290753441162E-8</v>
      </c>
      <c r="C268" s="4">
        <f t="shared" si="13"/>
        <v>4.8623148036215442E-9</v>
      </c>
      <c r="D268" s="5">
        <f t="shared" si="12"/>
        <v>4.8623148036215442E-9</v>
      </c>
      <c r="F268" s="3">
        <v>0.26600000000000001</v>
      </c>
      <c r="G268" s="3">
        <v>2.7419341689928718</v>
      </c>
      <c r="H268" s="3" cm="1">
        <f t="array" ref="H268">SUM((_xlfn.NORM.DIST((F139:F267-F268),0,L268,TRUE)-_xlfn.NORM.DIST((F139:F267-F268-0.001),0,L268,TRUE))*(G139:G267+G269:G397))+G268*_xlfn.NORM.DIST(0,0,L268,TRUE)*2</f>
        <v>5.1016236739468139</v>
      </c>
      <c r="L268" s="3">
        <f t="shared" si="14"/>
        <v>3.0000000000000001E-3</v>
      </c>
    </row>
    <row r="269" spans="1:12" x14ac:dyDescent="0.4">
      <c r="A269" s="3">
        <v>-0.26600000000000001</v>
      </c>
      <c r="B269" s="3">
        <v>5.1883626018423995E-8</v>
      </c>
      <c r="C269" s="4">
        <f t="shared" si="13"/>
        <v>5.4103352649828336E-9</v>
      </c>
      <c r="D269" s="5">
        <f t="shared" si="12"/>
        <v>5.4103352649828336E-9</v>
      </c>
      <c r="F269" s="3">
        <v>0.26700000000000002</v>
      </c>
      <c r="G269" s="3">
        <v>2.7310257005448983</v>
      </c>
      <c r="H269" s="3" cm="1">
        <f t="array" ref="H269">SUM((_xlfn.NORM.DIST((F140:F268-F269),0,L269,TRUE)-_xlfn.NORM.DIST((F140:F268-F269-0.001),0,L269,TRUE))*(G140:G268+G270:G398))+G269*_xlfn.NORM.DIST(0,0,L269,TRUE)*2</f>
        <v>5.0832948830130045</v>
      </c>
      <c r="L269" s="3">
        <f t="shared" si="14"/>
        <v>3.0000000000000001E-3</v>
      </c>
    </row>
    <row r="270" spans="1:12" x14ac:dyDescent="0.4">
      <c r="A270" s="3">
        <v>-0.26500000000000001</v>
      </c>
      <c r="B270" s="3">
        <v>5.7901340399645781E-8</v>
      </c>
      <c r="C270" s="4">
        <f t="shared" si="13"/>
        <v>6.0177143812217854E-9</v>
      </c>
      <c r="D270" s="5">
        <f t="shared" si="12"/>
        <v>6.0177143812217854E-9</v>
      </c>
      <c r="F270" s="3">
        <v>0.26800000000000002</v>
      </c>
      <c r="G270" s="3">
        <v>2.7204338548032743</v>
      </c>
      <c r="H270" s="3" cm="1">
        <f t="array" ref="H270">SUM((_xlfn.NORM.DIST((F141:F269-F270),0,L270,TRUE)-_xlfn.NORM.DIST((F141:F269-F270-0.001),0,L270,TRUE))*(G141:G269+G271:G399))+G270*_xlfn.NORM.DIST(0,0,L270,TRUE)*2</f>
        <v>5.0654458058925886</v>
      </c>
      <c r="L270" s="3">
        <f t="shared" si="14"/>
        <v>3.0000000000000001E-3</v>
      </c>
    </row>
    <row r="271" spans="1:12" x14ac:dyDescent="0.4">
      <c r="A271" s="3">
        <v>-0.26400000000000001</v>
      </c>
      <c r="B271" s="3">
        <v>6.4591943259824887E-8</v>
      </c>
      <c r="C271" s="4">
        <f t="shared" si="13"/>
        <v>6.6906028601791061E-9</v>
      </c>
      <c r="D271" s="5">
        <f t="shared" si="12"/>
        <v>6.6906028601791061E-9</v>
      </c>
      <c r="F271" s="3">
        <v>0.26900000000000002</v>
      </c>
      <c r="G271" s="3">
        <v>2.7101450438136112</v>
      </c>
      <c r="H271" s="3" cm="1">
        <f t="array" ref="H271">SUM((_xlfn.NORM.DIST((F142:F270-F271),0,L271,TRUE)-_xlfn.NORM.DIST((F142:F270-F271-0.001),0,L271,TRUE))*(G142:G270+G272:G400))+G271*_xlfn.NORM.DIST(0,0,L271,TRUE)*2</f>
        <v>5.0480564840571764</v>
      </c>
      <c r="L271" s="3">
        <f t="shared" si="14"/>
        <v>3.0000000000000001E-3</v>
      </c>
    </row>
    <row r="272" spans="1:12" x14ac:dyDescent="0.4">
      <c r="A272" s="3">
        <v>-0.26300000000000001</v>
      </c>
      <c r="B272" s="3">
        <v>7.2027700809659549E-8</v>
      </c>
      <c r="C272" s="4">
        <f t="shared" si="13"/>
        <v>7.4357575498346623E-9</v>
      </c>
      <c r="D272" s="5">
        <f t="shared" si="12"/>
        <v>7.4357575498346623E-9</v>
      </c>
      <c r="F272" s="3">
        <v>0.27</v>
      </c>
      <c r="G272" s="3">
        <v>2.700146446165451</v>
      </c>
      <c r="H272" s="3" cm="1">
        <f t="array" ref="H272">SUM((_xlfn.NORM.DIST((F143:F271-F272),0,L272,TRUE)-_xlfn.NORM.DIST((F143:F271-F272-0.001),0,L272,TRUE))*(G143:G271+G273:G401))+G272*_xlfn.NORM.DIST(0,0,L272,TRUE)*2</f>
        <v>5.031108081499184</v>
      </c>
      <c r="L272" s="3">
        <f t="shared" si="14"/>
        <v>3.0000000000000001E-3</v>
      </c>
    </row>
    <row r="273" spans="1:12" x14ac:dyDescent="0.4">
      <c r="A273" s="3">
        <v>-0.26200000000000001</v>
      </c>
      <c r="B273" s="3">
        <v>8.0288298614958671E-8</v>
      </c>
      <c r="C273" s="4">
        <f t="shared" si="13"/>
        <v>8.260597805299122E-9</v>
      </c>
      <c r="D273" s="5">
        <f t="shared" si="12"/>
        <v>8.260597805299122E-9</v>
      </c>
      <c r="F273" s="3">
        <v>0.27100000000000002</v>
      </c>
      <c r="G273" s="3">
        <v>2.6904259536822934</v>
      </c>
      <c r="H273" s="3" cm="1">
        <f t="array" ref="H273">SUM((_xlfn.NORM.DIST((F144:F272-F273),0,L273,TRUE)-_xlfn.NORM.DIST((F144:F272-F273-0.001),0,L273,TRUE))*(G144:G272+G274:G402))+G273*_xlfn.NORM.DIST(0,0,L273,TRUE)*2</f>
        <v>5.0145828060966915</v>
      </c>
      <c r="L273" s="3">
        <f t="shared" si="14"/>
        <v>3.0000000000000001E-3</v>
      </c>
    </row>
    <row r="274" spans="1:12" x14ac:dyDescent="0.4">
      <c r="A274" s="3">
        <v>-0.26100000000000001</v>
      </c>
      <c r="B274" s="3">
        <v>8.9461565362907436E-8</v>
      </c>
      <c r="C274" s="4">
        <f t="shared" si="13"/>
        <v>9.1732667479487644E-9</v>
      </c>
      <c r="D274" s="5">
        <f t="shared" si="12"/>
        <v>9.1732667479487644E-9</v>
      </c>
      <c r="F274" s="3">
        <v>0.27200000000000002</v>
      </c>
      <c r="G274" s="3">
        <v>2.6809721225185141</v>
      </c>
      <c r="H274" s="3" cm="1">
        <f t="array" ref="H274">SUM((_xlfn.NORM.DIST((F145:F273-F274),0,L274,TRUE)-_xlfn.NORM.DIST((F145:F273-F274-0.001),0,L274,TRUE))*(G145:G273+G275:G403))+G274*_xlfn.NORM.DIST(0,0,L274,TRUE)*2</f>
        <v>4.9984638375411583</v>
      </c>
      <c r="L274" s="3">
        <f t="shared" si="14"/>
        <v>3.0000000000000001E-3</v>
      </c>
    </row>
    <row r="275" spans="1:12" x14ac:dyDescent="0.4">
      <c r="A275" s="3">
        <v>-0.26</v>
      </c>
      <c r="B275" s="3">
        <v>9.9644263169334635E-8</v>
      </c>
      <c r="C275" s="4">
        <f t="shared" si="13"/>
        <v>1.0182697806427199E-8</v>
      </c>
      <c r="D275" s="5">
        <f t="shared" si="12"/>
        <v>1.0182697806427199E-8</v>
      </c>
      <c r="F275" s="3">
        <v>0.27300000000000002</v>
      </c>
      <c r="G275" s="3">
        <v>2.6717741282065064</v>
      </c>
      <c r="H275" s="3" cm="1">
        <f t="array" ref="H275">SUM((_xlfn.NORM.DIST((F146:F274-F275),0,L275,TRUE)-_xlfn.NORM.DIST((F146:F274-F275-0.001),0,L275,TRUE))*(G146:G274+G276:G404))+G275*_xlfn.NORM.DIST(0,0,L275,TRUE)*2</f>
        <v>4.9827352611618831</v>
      </c>
      <c r="L275" s="3">
        <f t="shared" si="14"/>
        <v>3.0000000000000001E-3</v>
      </c>
    </row>
    <row r="276" spans="1:12" x14ac:dyDescent="0.4">
      <c r="A276" s="3">
        <v>-0.25900000000000001</v>
      </c>
      <c r="B276" s="3">
        <v>1.1094295012634607E-7</v>
      </c>
      <c r="C276" s="4">
        <f t="shared" si="13"/>
        <v>1.129868695701144E-8</v>
      </c>
      <c r="D276" s="5">
        <f t="shared" si="12"/>
        <v>1.129868695701144E-8</v>
      </c>
      <c r="F276" s="3">
        <v>0.27400000000000002</v>
      </c>
      <c r="G276" s="3">
        <v>2.6628217243154793</v>
      </c>
      <c r="H276" s="3" cm="1">
        <f t="array" ref="H276">SUM((_xlfn.NORM.DIST((F147:F275-F276),0,L276,TRUE)-_xlfn.NORM.DIST((F147:F275-F276-0.001),0,L276,TRUE))*(G147:G275+G277:G405))+G276*_xlfn.NORM.DIST(0,0,L276,TRUE)*2</f>
        <v>4.9673820071175436</v>
      </c>
      <c r="L276" s="3">
        <f t="shared" si="14"/>
        <v>3.0000000000000001E-3</v>
      </c>
    </row>
    <row r="277" spans="1:12" x14ac:dyDescent="0.4">
      <c r="A277" s="3">
        <v>-0.25800000000000001</v>
      </c>
      <c r="B277" s="3">
        <v>1.2347492123651642E-7</v>
      </c>
      <c r="C277" s="4">
        <f t="shared" si="13"/>
        <v>1.2531971110170343E-8</v>
      </c>
      <c r="D277" s="5">
        <f t="shared" si="12"/>
        <v>1.2531971110170343E-8</v>
      </c>
      <c r="F277" s="3">
        <v>0.27500000000000002</v>
      </c>
      <c r="G277" s="3">
        <v>2.6541052043736451</v>
      </c>
      <c r="H277" s="3" cm="1">
        <f t="array" ref="H277">SUM((_xlfn.NORM.DIST((F148:F276-F277),0,L277,TRUE)-_xlfn.NORM.DIST((F148:F276-F277-0.001),0,L277,TRUE))*(G148:G276+G278:G406))+G277*_xlfn.NORM.DIST(0,0,L277,TRUE)*2</f>
        <v>4.9523897944395454</v>
      </c>
      <c r="L277" s="3">
        <f t="shared" si="14"/>
        <v>3.0000000000000001E-3</v>
      </c>
    </row>
    <row r="278" spans="1:12" x14ac:dyDescent="0.4">
      <c r="A278" s="3">
        <v>-0.25700000000000001</v>
      </c>
      <c r="B278" s="3">
        <v>1.3736923435784142E-7</v>
      </c>
      <c r="C278" s="4">
        <f t="shared" si="13"/>
        <v>1.3894313121325005E-8</v>
      </c>
      <c r="D278" s="5">
        <f t="shared" si="12"/>
        <v>1.3894313121325005E-8</v>
      </c>
      <c r="F278" s="3">
        <v>0.27600000000000002</v>
      </c>
      <c r="G278" s="3">
        <v>2.6456153667603783</v>
      </c>
      <c r="H278" s="3" cm="1">
        <f t="array" ref="H278">SUM((_xlfn.NORM.DIST((F149:F277-F278),0,L278,TRUE)-_xlfn.NORM.DIST((F149:F277-F278-0.001),0,L278,TRUE))*(G149:G277+G279:G407))+G278*_xlfn.NORM.DIST(0,0,L278,TRUE)*2</f>
        <v>4.9377450794830153</v>
      </c>
      <c r="L278" s="3">
        <f t="shared" si="14"/>
        <v>3.0000000000000001E-3</v>
      </c>
    </row>
    <row r="279" spans="1:12" x14ac:dyDescent="0.4">
      <c r="A279" s="3">
        <v>-0.25600000000000001</v>
      </c>
      <c r="B279" s="3">
        <v>1.5276782829456557E-7</v>
      </c>
      <c r="C279" s="4">
        <f t="shared" si="13"/>
        <v>1.5398593936724151E-8</v>
      </c>
      <c r="D279" s="5">
        <f t="shared" si="12"/>
        <v>1.5398593936724151E-8</v>
      </c>
      <c r="F279" s="3">
        <v>0.27700000000000002</v>
      </c>
      <c r="G279" s="3">
        <v>2.6373434823122035</v>
      </c>
      <c r="H279" s="3" cm="1">
        <f t="array" ref="H279">SUM((_xlfn.NORM.DIST((F150:F278-F279),0,L279,TRUE)-_xlfn.NORM.DIST((F150:F278-F279-0.001),0,L279,TRUE))*(G150:G278+G280:G408))+G279*_xlfn.NORM.DIST(0,0,L279,TRUE)*2</f>
        <v>4.9234350083963818</v>
      </c>
      <c r="L279" s="3">
        <f t="shared" si="14"/>
        <v>3.0000000000000001E-3</v>
      </c>
    </row>
    <row r="280" spans="1:12" x14ac:dyDescent="0.4">
      <c r="A280" s="3">
        <v>-0.255</v>
      </c>
      <c r="B280" s="3">
        <v>1.6982674071475971E-7</v>
      </c>
      <c r="C280" s="4">
        <f t="shared" si="13"/>
        <v>1.7058912420194138E-8</v>
      </c>
      <c r="D280" s="5">
        <f t="shared" si="12"/>
        <v>1.7058912420194138E-8</v>
      </c>
      <c r="F280" s="3">
        <v>0.27800000000000002</v>
      </c>
      <c r="G280" s="3">
        <v>2.6292812643779522</v>
      </c>
      <c r="H280" s="3" cm="1">
        <f t="array" ref="H280">SUM((_xlfn.NORM.DIST((F151:F279-F280),0,L280,TRUE)-_xlfn.NORM.DIST((F151:F279-F280-0.001),0,L280,TRUE))*(G151:G279+G281:G409))+G280*_xlfn.NORM.DIST(0,0,L280,TRUE)*2</f>
        <v>4.9094473732252464</v>
      </c>
      <c r="L280" s="3">
        <f t="shared" si="14"/>
        <v>3.0000000000000001E-3</v>
      </c>
    </row>
    <row r="281" spans="1:12" x14ac:dyDescent="0.4">
      <c r="A281" s="3">
        <v>-0.254</v>
      </c>
      <c r="B281" s="3">
        <v>1.8871743415805949E-7</v>
      </c>
      <c r="C281" s="4">
        <f t="shared" si="13"/>
        <v>1.889069344329978E-8</v>
      </c>
      <c r="D281" s="5">
        <f t="shared" si="12"/>
        <v>1.889069344329978E-8</v>
      </c>
      <c r="F281" s="3">
        <v>0.27900000000000003</v>
      </c>
      <c r="G281" s="3">
        <v>2.6214208411308051</v>
      </c>
      <c r="H281" s="3" cm="1">
        <f t="array" ref="H281">SUM((_xlfn.NORM.DIST((F152:F280-F281),0,L281,TRUE)-_xlfn.NORM.DIST((F152:F280-F281-0.001),0,L281,TRUE))*(G152:G280+G282:G410))+G281*_xlfn.NORM.DIST(0,0,L281,TRUE)*2</f>
        <v>4.8957705713492956</v>
      </c>
      <c r="L281" s="3">
        <f t="shared" si="14"/>
        <v>3.0000000000000001E-3</v>
      </c>
    </row>
    <row r="282" spans="1:12" x14ac:dyDescent="0.4">
      <c r="A282" s="3">
        <v>-0.253</v>
      </c>
      <c r="B282" s="3">
        <v>2.0962823901837026E-7</v>
      </c>
      <c r="C282" s="4">
        <f t="shared" si="13"/>
        <v>2.0910804860310769E-8</v>
      </c>
      <c r="D282" s="5">
        <f t="shared" si="12"/>
        <v>2.0910804860310769E-8</v>
      </c>
      <c r="F282" s="3">
        <v>0.28000000000000003</v>
      </c>
      <c r="G282" s="3">
        <v>2.613754729932888</v>
      </c>
      <c r="H282" s="3" cm="1">
        <f t="array" ref="H282">SUM((_xlfn.NORM.DIST((F153:F281-F282),0,L282,TRUE)-_xlfn.NORM.DIST((F153:F281-F282-0.001),0,L282,TRUE))*(G153:G281+G283:G411))+G282*_xlfn.NORM.DIST(0,0,L282,TRUE)*2</f>
        <v>4.8823935679532724</v>
      </c>
      <c r="L282" s="3">
        <f t="shared" si="14"/>
        <v>3.0000000000000001E-3</v>
      </c>
    </row>
    <row r="283" spans="1:12" x14ac:dyDescent="0.4">
      <c r="A283" s="3">
        <v>-0.252</v>
      </c>
      <c r="B283" s="3">
        <v>2.3276592304859962E-7</v>
      </c>
      <c r="C283" s="4">
        <f t="shared" si="13"/>
        <v>2.3137684030229359E-8</v>
      </c>
      <c r="D283" s="5">
        <f t="shared" si="12"/>
        <v>2.3137684030229359E-8</v>
      </c>
      <c r="F283" s="3">
        <v>0.28100000000000003</v>
      </c>
      <c r="G283" s="3">
        <v>2.6062758135737099</v>
      </c>
      <c r="H283" s="3" cm="1">
        <f t="array" ref="H283">SUM((_xlfn.NORM.DIST((F154:F282-F283),0,L283,TRUE)-_xlfn.NORM.DIST((F154:F282-F283-0.001),0,L283,TRUE))*(G154:G282+G284:G412))+G283*_xlfn.NORM.DIST(0,0,L283,TRUE)*2</f>
        <v>4.8693058612654516</v>
      </c>
      <c r="L283" s="3">
        <f t="shared" si="14"/>
        <v>3.0000000000000001E-3</v>
      </c>
    </row>
    <row r="284" spans="1:12" x14ac:dyDescent="0.4">
      <c r="A284" s="3">
        <v>-0.251</v>
      </c>
      <c r="B284" s="3">
        <v>2.5835739763997349E-7</v>
      </c>
      <c r="C284" s="4">
        <f t="shared" si="13"/>
        <v>2.5591474591373872E-8</v>
      </c>
      <c r="D284" s="5">
        <f t="shared" si="12"/>
        <v>2.5591474591373872E-8</v>
      </c>
      <c r="F284" s="3">
        <v>0.28200000000000003</v>
      </c>
      <c r="G284" s="3">
        <v>2.598977318234502</v>
      </c>
      <c r="H284" s="3" cm="1">
        <f t="array" ref="H284">SUM((_xlfn.NORM.DIST((F155:F283-F284),0,L284,TRUE)-_xlfn.NORM.DIST((F155:F283-F284-0.001),0,L284,TRUE))*(G155:G283+G285:G413))+G284*_xlfn.NORM.DIST(0,0,L284,TRUE)*2</f>
        <v>4.856497450338578</v>
      </c>
      <c r="L284" s="3">
        <f t="shared" si="14"/>
        <v>3.0000000000000001E-3</v>
      </c>
    </row>
    <row r="285" spans="1:12" x14ac:dyDescent="0.4">
      <c r="A285" s="3">
        <v>-0.25</v>
      </c>
      <c r="B285" s="3">
        <v>2.8665157187919333E-7</v>
      </c>
      <c r="C285" s="4">
        <f t="shared" si="13"/>
        <v>2.8294174239219837E-8</v>
      </c>
      <c r="D285" s="5">
        <f t="shared" si="12"/>
        <v>2.8294174239219837E-8</v>
      </c>
      <c r="F285" s="3">
        <v>0.28300000000000003</v>
      </c>
      <c r="G285" s="3">
        <v>2.5918527930227149</v>
      </c>
      <c r="H285" s="3" cm="1">
        <f t="array" ref="H285">SUM((_xlfn.NORM.DIST((F156:F284-F285),0,L285,TRUE)-_xlfn.NORM.DIST((F156:F284-F285-0.001),0,L285,TRUE))*(G156:G284+G286:G414))+G285*_xlfn.NORM.DIST(0,0,L285,TRUE)*2</f>
        <v>4.8439588051469435</v>
      </c>
      <c r="L285" s="3">
        <f t="shared" si="14"/>
        <v>3.0000000000000001E-3</v>
      </c>
    </row>
    <row r="286" spans="1:12" x14ac:dyDescent="0.4">
      <c r="A286" s="3">
        <v>-0.249</v>
      </c>
      <c r="B286" s="3">
        <v>3.1792136618528217E-7</v>
      </c>
      <c r="C286" s="4">
        <f t="shared" si="13"/>
        <v>3.1269794306088837E-8</v>
      </c>
      <c r="D286" s="5">
        <f t="shared" si="12"/>
        <v>3.1269794306088837E-8</v>
      </c>
      <c r="F286" s="3">
        <v>0.28400000000000003</v>
      </c>
      <c r="G286" s="3">
        <v>2.5848960909582348</v>
      </c>
      <c r="H286" s="3" cm="1">
        <f t="array" ref="H286">SUM((_xlfn.NORM.DIST((F157:F285-F286),0,L286,TRUE)-_xlfn.NORM.DIST((F157:F285-F286-0.001),0,L286,TRUE))*(G157:G285+G287:G415))+G286*_xlfn.NORM.DIST(0,0,L286,TRUE)*2</f>
        <v>4.8316808388175598</v>
      </c>
      <c r="L286" s="3">
        <f t="shared" si="14"/>
        <v>3.0000000000000001E-3</v>
      </c>
    </row>
    <row r="287" spans="1:12" x14ac:dyDescent="0.4">
      <c r="A287" s="3">
        <v>-0.248</v>
      </c>
      <c r="B287" s="3">
        <v>3.524658981764237E-7</v>
      </c>
      <c r="C287" s="4">
        <f t="shared" si="13"/>
        <v>3.4544531991141537E-8</v>
      </c>
      <c r="D287" s="5">
        <f t="shared" si="12"/>
        <v>3.4544531991141537E-8</v>
      </c>
      <c r="F287" s="3">
        <v>0.28500000000000003</v>
      </c>
      <c r="G287" s="3">
        <v>2.5781013512816768</v>
      </c>
      <c r="H287" s="3" cm="1">
        <f t="array" ref="H287">SUM((_xlfn.NORM.DIST((F158:F286-F287),0,L287,TRUE)-_xlfn.NORM.DIST((F158:F286-F287-0.001),0,L287,TRUE))*(G158:G286+G288:G416))+G287*_xlfn.NORM.DIST(0,0,L287,TRUE)*2</f>
        <v>4.8196548818089431</v>
      </c>
      <c r="L287" s="3">
        <f t="shared" si="14"/>
        <v>3.0000000000000001E-3</v>
      </c>
    </row>
    <row r="288" spans="1:12" x14ac:dyDescent="0.4">
      <c r="A288" s="3">
        <v>-0.247</v>
      </c>
      <c r="B288" s="3">
        <v>3.9061285431832605E-7</v>
      </c>
      <c r="C288" s="4">
        <f t="shared" si="13"/>
        <v>3.8146956141902348E-8</v>
      </c>
      <c r="D288" s="5">
        <f t="shared" si="12"/>
        <v>3.8146956141902348E-8</v>
      </c>
      <c r="F288" s="3">
        <v>0.28600000000000003</v>
      </c>
      <c r="G288" s="3">
        <v>2.5714629829886881</v>
      </c>
      <c r="H288" s="3" cm="1">
        <f t="array" ref="H288">SUM((_xlfn.NORM.DIST((F159:F287-F288),0,L288,TRUE)-_xlfn.NORM.DIST((F159:F287-F288-0.001),0,L288,TRUE))*(G159:G287+G289:G417))+G288*_xlfn.NORM.DIST(0,0,L288,TRUE)*2</f>
        <v>4.8078726578890301</v>
      </c>
      <c r="L288" s="3">
        <f t="shared" si="14"/>
        <v>3.0000000000000001E-3</v>
      </c>
    </row>
    <row r="289" spans="1:12" x14ac:dyDescent="0.4">
      <c r="A289" s="3">
        <v>-0.246</v>
      </c>
      <c r="B289" s="3">
        <v>4.3272106186170034E-7</v>
      </c>
      <c r="C289" s="4">
        <f t="shared" si="13"/>
        <v>4.2108207543374288E-8</v>
      </c>
      <c r="D289" s="5">
        <f t="shared" si="12"/>
        <v>4.2108207543374288E-8</v>
      </c>
      <c r="F289" s="3">
        <v>0.28700000000000003</v>
      </c>
      <c r="G289" s="3">
        <v>2.5649756494843858</v>
      </c>
      <c r="H289" s="3" cm="1">
        <f t="array" ref="H289">SUM((_xlfn.NORM.DIST((F160:F288-F289),0,L289,TRUE)-_xlfn.NORM.DIST((F160:F288-F289-0.001),0,L289,TRUE))*(G160:G288+G290:G418))+G289*_xlfn.NORM.DIST(0,0,L289,TRUE)*2</f>
        <v>4.7963262617597735</v>
      </c>
      <c r="L289" s="3">
        <f t="shared" si="14"/>
        <v>3.0000000000000001E-3</v>
      </c>
    </row>
    <row r="290" spans="1:12" x14ac:dyDescent="0.4">
      <c r="A290" s="3">
        <v>-0.245</v>
      </c>
      <c r="B290" s="3">
        <v>4.7918327659032035E-7</v>
      </c>
      <c r="C290" s="4">
        <f t="shared" si="13"/>
        <v>4.6462214728620009E-8</v>
      </c>
      <c r="D290" s="5">
        <f t="shared" si="12"/>
        <v>4.6462214728620009E-8</v>
      </c>
      <c r="F290" s="3">
        <v>0.28800000000000003</v>
      </c>
      <c r="G290" s="3">
        <v>2.5586342542771199</v>
      </c>
      <c r="H290" s="3" cm="1">
        <f t="array" ref="H290">SUM((_xlfn.NORM.DIST((F161:F289-F290),0,L290,TRUE)-_xlfn.NORM.DIST((F161:F289-F290-0.001),0,L290,TRUE))*(G161:G289+G291:G419))+G290*_xlfn.NORM.DIST(0,0,L290,TRUE)*2</f>
        <v>4.7850081382047431</v>
      </c>
      <c r="L290" s="3">
        <f t="shared" si="14"/>
        <v>3.0000000000000001E-3</v>
      </c>
    </row>
    <row r="291" spans="1:12" x14ac:dyDescent="0.4">
      <c r="A291" s="3">
        <v>-0.24400000000000005</v>
      </c>
      <c r="B291" s="3">
        <v>5.3042920297509129E-7</v>
      </c>
      <c r="C291" s="4">
        <f t="shared" si="13"/>
        <v>5.1245926384770941E-8</v>
      </c>
      <c r="D291" s="5">
        <f t="shared" si="12"/>
        <v>5.1245926384770941E-8</v>
      </c>
      <c r="F291" s="3">
        <v>0.28899999999999998</v>
      </c>
      <c r="G291" s="3">
        <v>2.5524339276245471</v>
      </c>
      <c r="H291" s="3" cm="1">
        <f t="array" ref="H291">SUM((_xlfn.NORM.DIST((F162:F290-F291),0,L291,TRUE)-_xlfn.NORM.DIST((F162:F290-F291-0.001),0,L291,TRUE))*(G162:G290+G292:G420))+G291*_xlfn.NORM.DIST(0,0,L291,TRUE)*2</f>
        <v>4.7739110626341983</v>
      </c>
      <c r="L291" s="3">
        <f t="shared" si="14"/>
        <v>3.0000000000000001E-3</v>
      </c>
    </row>
    <row r="292" spans="1:12" x14ac:dyDescent="0.4">
      <c r="A292" s="3">
        <v>-0.24300000000000005</v>
      </c>
      <c r="B292" s="3">
        <v>5.8692876446663605E-7</v>
      </c>
      <c r="C292" s="4">
        <f t="shared" si="13"/>
        <v>5.6499561491544765E-8</v>
      </c>
      <c r="D292" s="5">
        <f>C292</f>
        <v>5.6499561491544765E-8</v>
      </c>
      <c r="F292" s="3">
        <v>0.28999999999999998</v>
      </c>
      <c r="G292" s="3">
        <v>2.5463700140634993</v>
      </c>
      <c r="H292" s="3" cm="1">
        <f t="array" ref="H292">SUM((_xlfn.NORM.DIST((F163:F291-F292),0,L292,TRUE)-_xlfn.NORM.DIST((F163:F291-F292-0.001),0,L292,TRUE))*(G163:G291+G293:G421))+G292*_xlfn.NORM.DIST(0,0,L292,TRUE)*2</f>
        <v>4.7630281229236013</v>
      </c>
      <c r="L292" s="3">
        <f t="shared" si="14"/>
        <v>3.0000000000000001E-3</v>
      </c>
    </row>
    <row r="293" spans="1:12" x14ac:dyDescent="0.4">
      <c r="A293" s="3">
        <v>-0.24200000000000005</v>
      </c>
      <c r="B293" s="3">
        <v>6.4919564286133005E-7</v>
      </c>
      <c r="C293" s="4">
        <f t="shared" si="13"/>
        <v>6.2266878394693999E-8</v>
      </c>
      <c r="D293" s="5">
        <f t="shared" si="12"/>
        <v>6.2266878394693999E-8</v>
      </c>
      <c r="F293" s="3">
        <v>0.29099999999999998</v>
      </c>
      <c r="G293" s="3">
        <v>2.54043806075043</v>
      </c>
      <c r="H293" s="3" cm="1">
        <f t="array" ref="H293">SUM((_xlfn.NORM.DIST((F164:F292-F293),0,L293,TRUE)-_xlfn.NORM.DIST((F164:F292-F293-0.001),0,L293,TRUE))*(G164:G292+G294:G422))+G293*_xlfn.NORM.DIST(0,0,L293,TRUE)*2</f>
        <v>4.7523527024412546</v>
      </c>
      <c r="L293" s="3">
        <f t="shared" si="14"/>
        <v>3.0000000000000001E-3</v>
      </c>
    </row>
    <row r="294" spans="1:12" x14ac:dyDescent="0.4">
      <c r="A294" s="3">
        <v>-0.24100000000000005</v>
      </c>
      <c r="B294" s="3">
        <v>7.1779110694689841E-7</v>
      </c>
      <c r="C294" s="4">
        <f t="shared" si="13"/>
        <v>6.8595464085568356E-8</v>
      </c>
      <c r="D294" s="5">
        <f t="shared" si="12"/>
        <v>6.8595464085568356E-8</v>
      </c>
      <c r="F294" s="3">
        <v>0.29199999999999998</v>
      </c>
      <c r="G294" s="3">
        <v>2.534633806559023</v>
      </c>
      <c r="H294" s="3" cm="1">
        <f t="array" ref="H294">SUM((_xlfn.NORM.DIST((F165:F293-F294),0,L294,TRUE)-_xlfn.NORM.DIST((F165:F293-F294-0.001),0,L294,TRUE))*(G165:G293+G295:G423))+G294*_xlfn.NORM.DIST(0,0,L294,TRUE)*2</f>
        <v>4.7418784641806822</v>
      </c>
      <c r="L294" s="3">
        <f t="shared" si="14"/>
        <v>3.0000000000000001E-3</v>
      </c>
    </row>
    <row r="295" spans="1:12" x14ac:dyDescent="0.4">
      <c r="A295" s="3">
        <v>-0.24000000000000005</v>
      </c>
      <c r="B295" s="3">
        <v>7.933281519755893E-7</v>
      </c>
      <c r="C295" s="4">
        <f t="shared" si="13"/>
        <v>7.5537045028690886E-8</v>
      </c>
      <c r="D295" s="5">
        <f t="shared" si="12"/>
        <v>7.5537045028690886E-8</v>
      </c>
      <c r="F295" s="3">
        <v>0.29299999999999998</v>
      </c>
      <c r="G295" s="3">
        <v>2.5289531718662164</v>
      </c>
      <c r="H295" s="3" cm="1">
        <f t="array" ref="H295">SUM((_xlfn.NORM.DIST((F166:F294-F295),0,L295,TRUE)-_xlfn.NORM.DIST((F166:F294-F295-0.001),0,L295,TRUE))*(G166:G294+G296:G424))+G295*_xlfn.NORM.DIST(0,0,L295,TRUE)*2</f>
        <v>4.7315993359043498</v>
      </c>
      <c r="L295" s="3">
        <f t="shared" si="14"/>
        <v>3.0000000000000001E-3</v>
      </c>
    </row>
    <row r="296" spans="1:12" x14ac:dyDescent="0.4">
      <c r="A296" s="3">
        <v>-0.23900000000000005</v>
      </c>
      <c r="B296" s="3">
        <v>8.764759729292021E-7</v>
      </c>
      <c r="C296" s="4">
        <f t="shared" si="13"/>
        <v>8.3147820953612807E-8</v>
      </c>
      <c r="D296" s="5">
        <f t="shared" si="12"/>
        <v>8.3147820953612807E-8</v>
      </c>
      <c r="F296" s="3">
        <v>0.29399999999999998</v>
      </c>
      <c r="G296" s="3">
        <v>2.5233922489992962</v>
      </c>
      <c r="H296" s="3" cm="1">
        <f t="array" ref="H296">SUM((_xlfn.NORM.DIST((F167:F295-F296),0,L296,TRUE)-_xlfn.NORM.DIST((F167:F295-F296-0.001),0,L296,TRUE))*(G167:G295+G297:G425))+G296*_xlfn.NORM.DIST(0,0,L296,TRUE)*2</f>
        <v>4.7215094962451918</v>
      </c>
      <c r="L296" s="3">
        <f t="shared" si="14"/>
        <v>3.0000000000000001E-3</v>
      </c>
    </row>
    <row r="297" spans="1:12" x14ac:dyDescent="0.4">
      <c r="A297" s="3">
        <v>-0.23800000000000004</v>
      </c>
      <c r="B297" s="3">
        <v>9.679647960327271E-7</v>
      </c>
      <c r="C297" s="4">
        <f t="shared" si="13"/>
        <v>9.1488823103525001E-8</v>
      </c>
      <c r="D297" s="5">
        <f t="shared" si="12"/>
        <v>9.1488823103525001E-8</v>
      </c>
      <c r="F297" s="3">
        <v>0.29499999999999998</v>
      </c>
      <c r="G297" s="3">
        <v>2.5179472932625773</v>
      </c>
      <c r="H297" s="3" cm="1">
        <f t="array" ref="H297">SUM((_xlfn.NORM.DIST((F168:F296-F297),0,L297,TRUE)-_xlfn.NORM.DIST((F168:F296-F297-0.001),0,L297,TRUE))*(G168:G296+G298:G426))+G297*_xlfn.NORM.DIST(0,0,L297,TRUE)*2</f>
        <v>4.7116033616643094</v>
      </c>
      <c r="L297" s="3">
        <f t="shared" si="14"/>
        <v>3.0000000000000001E-3</v>
      </c>
    </row>
    <row r="298" spans="1:12" x14ac:dyDescent="0.4">
      <c r="A298" s="3">
        <v>-0.23700000000000004</v>
      </c>
      <c r="B298" s="3">
        <v>1.0685910945459319E-6</v>
      </c>
      <c r="C298" s="4">
        <f t="shared" si="13"/>
        <v>1.0062629851320481E-7</v>
      </c>
      <c r="D298" s="5">
        <f t="shared" si="12"/>
        <v>1.0062629851320481E-7</v>
      </c>
      <c r="F298" s="3">
        <v>0.29599999999999999</v>
      </c>
      <c r="G298" s="3">
        <v>2.5126147145341853</v>
      </c>
      <c r="H298" s="3" cm="1">
        <f t="array" ref="H298">SUM((_xlfn.NORM.DIST((F169:F297-F298),0,L298,TRUE)-_xlfn.NORM.DIST((F169:F297-F298-0.001),0,L298,TRUE))*(G169:G297+G299:G427))+G298*_xlfn.NORM.DIST(0,0,L298,TRUE)*2</f>
        <v>4.7018755742327079</v>
      </c>
      <c r="L298" s="3">
        <f t="shared" si="14"/>
        <v>3.0000000000000001E-3</v>
      </c>
    </row>
    <row r="299" spans="1:12" x14ac:dyDescent="0.4">
      <c r="A299" s="3">
        <v>-0.23600000000000004</v>
      </c>
      <c r="B299" s="3">
        <v>1.1792232165163909E-6</v>
      </c>
      <c r="C299" s="4">
        <f t="shared" si="13"/>
        <v>1.1063212197045898E-7</v>
      </c>
      <c r="D299" s="5">
        <f t="shared" si="12"/>
        <v>1.1063212197045898E-7</v>
      </c>
      <c r="F299" s="3">
        <v>0.29699999999999999</v>
      </c>
      <c r="G299" s="3">
        <v>2.5073910693691479</v>
      </c>
      <c r="H299" s="3" cm="1">
        <f t="array" ref="H299">SUM((_xlfn.NORM.DIST((F170:F298-F299),0,L299,TRUE)-_xlfn.NORM.DIST((F170:F298-F299-0.001),0,L299,TRUE))*(G170:G298+G300:G428))+G299*_xlfn.NORM.DIST(0,0,L299,TRUE)*2</f>
        <v>4.6923209901566487</v>
      </c>
      <c r="L299" s="3">
        <f t="shared" si="14"/>
        <v>3.0000000000000001E-3</v>
      </c>
    </row>
    <row r="300" spans="1:12" x14ac:dyDescent="0.4">
      <c r="A300" s="3">
        <v>-0.23500000000000004</v>
      </c>
      <c r="B300" s="3">
        <v>1.3008074539172773E-6</v>
      </c>
      <c r="C300" s="4">
        <f t="shared" si="13"/>
        <v>1.2158423740088642E-7</v>
      </c>
      <c r="D300" s="5">
        <f t="shared" si="12"/>
        <v>1.2158423740088642E-7</v>
      </c>
      <c r="F300" s="3">
        <v>0.29799999999999999</v>
      </c>
      <c r="G300" s="3">
        <v>2.5022730535860123</v>
      </c>
      <c r="H300" s="3" cm="1">
        <f t="array" ref="H300">SUM((_xlfn.NORM.DIST((F171:F299-F300),0,L300,TRUE)-_xlfn.NORM.DIST((F171:F299-F300-0.001),0,L300,TRUE))*(G171:G299+G301:G429))+G300*_xlfn.NORM.DIST(0,0,L300,TRUE)*2</f>
        <v>4.6829346690051237</v>
      </c>
      <c r="L300" s="3">
        <f t="shared" si="14"/>
        <v>3.0000000000000001E-3</v>
      </c>
    </row>
    <row r="301" spans="1:12" x14ac:dyDescent="0.4">
      <c r="A301" s="3">
        <v>-0.23400000000000004</v>
      </c>
      <c r="B301" s="3">
        <v>1.4343745844201276E-6</v>
      </c>
      <c r="C301" s="4">
        <f t="shared" si="13"/>
        <v>1.3356713050285028E-7</v>
      </c>
      <c r="D301" s="5">
        <f t="shared" si="12"/>
        <v>1.3356713050285028E-7</v>
      </c>
      <c r="F301" s="3">
        <v>0.29899999999999999</v>
      </c>
      <c r="G301" s="3">
        <v>2.4972574952925837</v>
      </c>
      <c r="H301" s="3" cm="1">
        <f t="array" ref="H301">SUM((_xlfn.NORM.DIST((F172:F300-F301),0,L301,TRUE)-_xlfn.NORM.DIST((F172:F300-F301-0.001),0,L301,TRUE))*(G172:G300+G302:G430))+G301*_xlfn.NORM.DIST(0,0,L301,TRUE)*2</f>
        <v>4.6719860504896715</v>
      </c>
      <c r="L301" s="3">
        <f t="shared" si="14"/>
        <v>3.0000000000000001E-3</v>
      </c>
    </row>
    <row r="302" spans="1:12" x14ac:dyDescent="0.4">
      <c r="A302" s="3">
        <v>-0.23300000000000004</v>
      </c>
      <c r="B302" s="3">
        <v>1.5810469189705068E-6</v>
      </c>
      <c r="C302" s="4">
        <f t="shared" si="13"/>
        <v>1.4667233455037916E-7</v>
      </c>
      <c r="D302" s="5">
        <f t="shared" si="12"/>
        <v>1.4667233455037916E-7</v>
      </c>
      <c r="F302" s="3">
        <v>0.3</v>
      </c>
      <c r="G302" s="3">
        <v>2.4923413483376886</v>
      </c>
      <c r="H302" s="3" cm="1">
        <f t="array" ref="H302">SUM((_xlfn.NORM.DIST((F173:F301-F302),0,L302,TRUE)-_xlfn.NORM.DIST((F173:F301-F302-0.001),0,L302,TRUE))*(G173:G301+G303:G431))+G302*_xlfn.NORM.DIST(0,0,L302,TRUE)*2</f>
        <v>4.6597843626933706</v>
      </c>
      <c r="L302" s="3">
        <f t="shared" si="14"/>
        <v>3.0000000000000001E-3</v>
      </c>
    </row>
    <row r="303" spans="1:12" x14ac:dyDescent="0.4">
      <c r="A303" s="3">
        <v>-0.23200000000000004</v>
      </c>
      <c r="B303" s="3">
        <v>1.7420458903446484E-6</v>
      </c>
      <c r="C303" s="4">
        <f t="shared" si="13"/>
        <v>1.6099897137414165E-7</v>
      </c>
      <c r="D303" s="5">
        <f t="shared" si="12"/>
        <v>1.6099897137414165E-7</v>
      </c>
      <c r="F303" s="3">
        <v>0.30099999999999999</v>
      </c>
      <c r="G303" s="3">
        <v>2.4875216861378875</v>
      </c>
      <c r="H303" s="3" cm="1">
        <f t="array" ref="H303">SUM((_xlfn.NORM.DIST((F174:F302-F303),0,L303,TRUE)-_xlfn.NORM.DIST((F174:F302-F303-0.001),0,L303,TRUE))*(G174:G302+G304:G432))+G303*_xlfn.NORM.DIST(0,0,L303,TRUE)*2</f>
        <v>4.6467649282359105</v>
      </c>
      <c r="L303" s="3">
        <f t="shared" si="14"/>
        <v>3.0000000000000001E-3</v>
      </c>
    </row>
    <row r="304" spans="1:12" x14ac:dyDescent="0.4">
      <c r="A304" s="3">
        <v>-0.23100000000000004</v>
      </c>
      <c r="B304" s="3">
        <v>1.9187002199708946E-6</v>
      </c>
      <c r="C304" s="4">
        <f t="shared" si="13"/>
        <v>1.7665432962624615E-7</v>
      </c>
      <c r="D304" s="5">
        <f t="shared" si="12"/>
        <v>1.7665432962624615E-7</v>
      </c>
      <c r="F304" s="3">
        <v>0.30199999999999999</v>
      </c>
      <c r="G304" s="3">
        <v>2.4827956958662272</v>
      </c>
      <c r="H304" s="3" cm="1">
        <f t="array" ref="H304">SUM((_xlfn.NORM.DIST((F175:F303-F304),0,L304,TRUE)-_xlfn.NORM.DIST((F175:F303-F304-0.001),0,L304,TRUE))*(G175:G303+G305:G433))+G304*_xlfn.NORM.DIST(0,0,L304,TRUE)*2</f>
        <v>4.6333186746141699</v>
      </c>
      <c r="L304" s="3">
        <f t="shared" si="14"/>
        <v>3.0000000000000001E-3</v>
      </c>
    </row>
    <row r="305" spans="1:12" x14ac:dyDescent="0.4">
      <c r="A305" s="3">
        <v>-0.23000000000000004</v>
      </c>
      <c r="B305" s="3">
        <v>2.1124547025028414E-6</v>
      </c>
      <c r="C305" s="4">
        <f t="shared" si="13"/>
        <v>1.9375448253194686E-7</v>
      </c>
      <c r="D305" s="5">
        <f t="shared" si="12"/>
        <v>1.9375448253194686E-7</v>
      </c>
      <c r="F305" s="3">
        <v>0.30299999999999999</v>
      </c>
      <c r="G305" s="3">
        <v>2.4781606729819732</v>
      </c>
      <c r="H305" s="3" cm="1">
        <f t="array" ref="H305">SUM((_xlfn.NORM.DIST((F176:F304-F305),0,L305,TRUE)-_xlfn.NORM.DIST((F176:F304-F305-0.001),0,L305,TRUE))*(G176:G304+G306:G434))+G305*_xlfn.NORM.DIST(0,0,L305,TRUE)*2</f>
        <v>4.6197416160410061</v>
      </c>
      <c r="L305" s="3">
        <f t="shared" si="14"/>
        <v>3.0000000000000001E-3</v>
      </c>
    </row>
    <row r="306" spans="1:12" x14ac:dyDescent="0.4">
      <c r="A306" s="3">
        <v>-0.22900000000000004</v>
      </c>
      <c r="B306" s="3">
        <v>2.3248796499344084E-6</v>
      </c>
      <c r="C306" s="4">
        <f t="shared" si="13"/>
        <v>2.1242494743156693E-7</v>
      </c>
      <c r="D306" s="5">
        <f t="shared" si="12"/>
        <v>2.1242494743156693E-7</v>
      </c>
      <c r="F306" s="3">
        <v>0.30399999999999999</v>
      </c>
      <c r="G306" s="3">
        <v>2.473614016068415</v>
      </c>
      <c r="H306" s="3" cm="1">
        <f t="array" ref="H306">SUM((_xlfn.NORM.DIST((F177:F305-F306),0,L306,TRUE)-_xlfn.NORM.DIST((F177:F305-F306-0.001),0,L306,TRUE))*(G177:G305+G307:G435))+G306*_xlfn.NORM.DIST(0,0,L306,TRUE)*2</f>
        <v>4.6062260380811946</v>
      </c>
      <c r="L306" s="3">
        <f t="shared" si="14"/>
        <v>3.0000000000000001E-3</v>
      </c>
    </row>
    <row r="307" spans="1:12" x14ac:dyDescent="0.4">
      <c r="A307" s="3">
        <v>-0.22800000000000004</v>
      </c>
      <c r="B307" s="3">
        <v>2.5576810394515143E-6</v>
      </c>
      <c r="C307" s="4">
        <f t="shared" si="13"/>
        <v>2.3280138951710597E-7</v>
      </c>
      <c r="D307" s="5">
        <f t="shared" si="12"/>
        <v>2.3280138951710597E-7</v>
      </c>
      <c r="F307" s="3">
        <v>0.30499999999999999</v>
      </c>
      <c r="G307" s="3">
        <v>2.4691532219596062</v>
      </c>
      <c r="H307" s="3" cm="1">
        <f t="array" ref="H307">SUM((_xlfn.NORM.DIST((F178:F306-F307),0,L307,TRUE)-_xlfn.NORM.DIST((F178:F306-F307-0.001),0,L307,TRUE))*(G178:G306+G308:G436))+G307*_xlfn.NORM.DIST(0,0,L307,TRUE)*2</f>
        <v>4.5928793659609877</v>
      </c>
      <c r="L307" s="3">
        <f t="shared" si="14"/>
        <v>3.0000000000000001E-3</v>
      </c>
    </row>
    <row r="308" spans="1:12" x14ac:dyDescent="0.4">
      <c r="A308" s="3">
        <v>-0.22700000000000004</v>
      </c>
      <c r="B308" s="3">
        <v>2.8127114117242095E-6</v>
      </c>
      <c r="C308" s="4">
        <f t="shared" si="13"/>
        <v>2.5503037227269522E-7</v>
      </c>
      <c r="D308" s="5">
        <f t="shared" si="12"/>
        <v>2.5503037227269522E-7</v>
      </c>
      <c r="F308" s="3">
        <v>0.30599999999999999</v>
      </c>
      <c r="G308" s="3">
        <v>2.4647758811527014</v>
      </c>
      <c r="H308" s="3" cm="1">
        <f t="array" ref="H308">SUM((_xlfn.NORM.DIST((F179:F307-F308),0,L308,TRUE)-_xlfn.NORM.DIST((F179:F307-F308-0.001),0,L308,TRUE))*(G179:G307+G309:G437))+G308*_xlfn.NORM.DIST(0,0,L308,TRUE)*2</f>
        <v>4.5797523122313066</v>
      </c>
      <c r="L308" s="3">
        <f t="shared" si="14"/>
        <v>3.0000000000000001E-3</v>
      </c>
    </row>
    <row r="309" spans="1:12" x14ac:dyDescent="0.4">
      <c r="A309" s="3">
        <v>-0.22600000000000003</v>
      </c>
      <c r="B309" s="3">
        <v>3.0919815689561671E-6</v>
      </c>
      <c r="C309" s="4">
        <f t="shared" si="13"/>
        <v>2.7927015723195751E-7</v>
      </c>
      <c r="D309" s="5">
        <f t="shared" si="12"/>
        <v>2.7927015723195751E-7</v>
      </c>
      <c r="F309" s="3">
        <v>0.307</v>
      </c>
      <c r="G309" s="3">
        <v>2.4604796734634005</v>
      </c>
      <c r="H309" s="3" cm="1">
        <f t="array" ref="H309">SUM((_xlfn.NORM.DIST((F180:F308-F309),0,L309,TRUE)-_xlfn.NORM.DIST((F180:F308-F309-0.001),0,L309,TRUE))*(G180:G308+G310:G438))+G309*_xlfn.NORM.DIST(0,0,L309,TRUE)*2</f>
        <v>4.5668635495213188</v>
      </c>
      <c r="L309" s="3">
        <f t="shared" si="14"/>
        <v>3.0000000000000001E-3</v>
      </c>
    </row>
    <row r="310" spans="1:12" x14ac:dyDescent="0.4">
      <c r="A310" s="3">
        <v>-0.22500000000000003</v>
      </c>
      <c r="B310" s="3">
        <v>3.3976731247300535E-6</v>
      </c>
      <c r="C310" s="4">
        <f t="shared" si="13"/>
        <v>3.0569155577388642E-7</v>
      </c>
      <c r="D310" s="5">
        <f t="shared" si="12"/>
        <v>3.0569155577388642E-7</v>
      </c>
      <c r="F310" s="3">
        <v>0.308</v>
      </c>
      <c r="G310" s="3">
        <v>2.4562623639242211</v>
      </c>
      <c r="H310" s="3" cm="1">
        <f t="array" ref="H310">SUM((_xlfn.NORM.DIST((F181:F309-F310),0,L310,TRUE)-_xlfn.NORM.DIST((F181:F309-F310-0.001),0,L310,TRUE))*(G181:G309+G311:G439))+G310*_xlfn.NORM.DIST(0,0,L310,TRUE)*2</f>
        <v>4.5542162171548393</v>
      </c>
      <c r="L310" s="3">
        <f t="shared" si="14"/>
        <v>3.0000000000000001E-3</v>
      </c>
    </row>
    <row r="311" spans="1:12" x14ac:dyDescent="0.4">
      <c r="A311" s="3">
        <v>-0.22400000000000003</v>
      </c>
      <c r="B311" s="3">
        <v>3.7321519605144754E-6</v>
      </c>
      <c r="C311" s="4">
        <f t="shared" si="13"/>
        <v>3.3447883578442188E-7</v>
      </c>
      <c r="D311" s="5">
        <f t="shared" si="12"/>
        <v>3.3447883578442188E-7</v>
      </c>
      <c r="F311" s="3">
        <v>0.309</v>
      </c>
      <c r="G311" s="3">
        <v>2.4521217989123381</v>
      </c>
      <c r="H311" s="3" cm="1">
        <f t="array" ref="H311">SUM((_xlfn.NORM.DIST((F182:F310-F311),0,L311,TRUE)-_xlfn.NORM.DIST((F182:F310-F311-0.001),0,L311,TRUE))*(G182:G310+G312:G440))+G311*_xlfn.NORM.DIST(0,0,L311,TRUE)*2</f>
        <v>4.5418069820226794</v>
      </c>
      <c r="L311" s="3">
        <f t="shared" si="14"/>
        <v>3.0000000000000001E-3</v>
      </c>
    </row>
    <row r="312" spans="1:12" x14ac:dyDescent="0.4">
      <c r="A312" s="3">
        <v>-0.22300000000000003</v>
      </c>
      <c r="B312" s="3">
        <v>4.0979826466363491E-6</v>
      </c>
      <c r="C312" s="4">
        <f t="shared" si="13"/>
        <v>3.6583068612187374E-7</v>
      </c>
      <c r="D312" s="5">
        <f t="shared" si="12"/>
        <v>3.6583068612187374E-7</v>
      </c>
      <c r="F312" s="3">
        <v>0.31</v>
      </c>
      <c r="G312" s="3">
        <v>2.4480559024751449</v>
      </c>
      <c r="H312" s="3" cm="1">
        <f t="array" ref="H312">SUM((_xlfn.NORM.DIST((F183:F311-F312),0,L312,TRUE)-_xlfn.NORM.DIST((F183:F311-F312-0.001),0,L312,TRUE))*(G183:G311+G313:G441))+G312*_xlfn.NORM.DIST(0,0,L312,TRUE)*2</f>
        <v>4.5296302478735582</v>
      </c>
      <c r="L312" s="3">
        <f t="shared" si="14"/>
        <v>3.0000000000000001E-3</v>
      </c>
    </row>
    <row r="313" spans="1:12" x14ac:dyDescent="0.4">
      <c r="A313" s="3">
        <v>-0.22200000000000003</v>
      </c>
      <c r="B313" s="3">
        <v>4.4979438885679006E-6</v>
      </c>
      <c r="C313" s="4">
        <f t="shared" si="13"/>
        <v>3.9996124193155147E-7</v>
      </c>
      <c r="D313" s="5">
        <f t="shared" si="12"/>
        <v>3.9996124193155147E-7</v>
      </c>
      <c r="F313" s="3">
        <v>0.311</v>
      </c>
      <c r="G313" s="3">
        <v>2.4440626728676644</v>
      </c>
      <c r="H313" s="3" cm="1">
        <f t="array" ref="H313">SUM((_xlfn.NORM.DIST((F184:F312-F313),0,L313,TRUE)-_xlfn.NORM.DIST((F184:F312-F313-0.001),0,L313,TRUE))*(G184:G312+G314:G442))+G313*_xlfn.NORM.DIST(0,0,L313,TRUE)*2</f>
        <v>4.5176798356636478</v>
      </c>
      <c r="L313" s="3">
        <f t="shared" si="14"/>
        <v>3.0000000000000001E-3</v>
      </c>
    </row>
    <row r="314" spans="1:12" x14ac:dyDescent="0.4">
      <c r="A314" s="3">
        <v>-0.22100000000000003</v>
      </c>
      <c r="B314" s="3">
        <v>4.9350450625332669E-6</v>
      </c>
      <c r="C314" s="4">
        <f t="shared" si="13"/>
        <v>4.3710117396536634E-7</v>
      </c>
      <c r="D314" s="5">
        <f t="shared" si="12"/>
        <v>4.3710117396536634E-7</v>
      </c>
      <c r="F314" s="3">
        <v>0.312</v>
      </c>
      <c r="G314" s="3">
        <v>2.4401401792612694</v>
      </c>
      <c r="H314" s="3" cm="1">
        <f t="array" ref="H314">SUM((_xlfn.NORM.DIST((F185:F313-F314),0,L314,TRUE)-_xlfn.NORM.DIST((F185:F313-F314-0.001),0,L314,TRUE))*(G185:G313+G315:G443))+G314*_xlfn.NORM.DIST(0,0,L314,TRUE)*2</f>
        <v>4.5042682494612345</v>
      </c>
      <c r="L314" s="3">
        <f t="shared" si="14"/>
        <v>3.0000000000000001E-3</v>
      </c>
    </row>
    <row r="315" spans="1:12" x14ac:dyDescent="0.4">
      <c r="A315" s="3">
        <v>-0.22000000000000003</v>
      </c>
      <c r="B315" s="3">
        <v>5.4125439077038416E-6</v>
      </c>
      <c r="C315" s="4">
        <f t="shared" si="13"/>
        <v>4.7749884517057467E-7</v>
      </c>
      <c r="D315" s="5">
        <f t="shared" si="12"/>
        <v>4.7749884517057467E-7</v>
      </c>
      <c r="F315" s="3">
        <v>0.313</v>
      </c>
      <c r="G315" s="3">
        <v>2.4362865586329292</v>
      </c>
      <c r="H315" s="3" cm="1">
        <f t="array" ref="H315">SUM((_xlfn.NORM.DIST((F186:F314-F315),0,L315,TRUE)-_xlfn.NORM.DIST((F186:F314-F315-0.001),0,L315,TRUE))*(G186:G314+G316:G444))+G315*_xlfn.NORM.DIST(0,0,L315,TRUE)*2</f>
        <v>4.4889133094566853</v>
      </c>
      <c r="L315" s="3">
        <f t="shared" si="14"/>
        <v>3.0000000000000001E-3</v>
      </c>
    </row>
    <row r="316" spans="1:12" x14ac:dyDescent="0.4">
      <c r="A316" s="3">
        <v>-0.21900000000000003</v>
      </c>
      <c r="B316" s="3">
        <v>5.933965445624665E-6</v>
      </c>
      <c r="C316" s="4">
        <f t="shared" si="13"/>
        <v>5.2142153792082337E-7</v>
      </c>
      <c r="D316" s="5">
        <f t="shared" si="12"/>
        <v>5.2142153792082337E-7</v>
      </c>
      <c r="F316" s="3">
        <v>0.314</v>
      </c>
      <c r="G316" s="3">
        <v>2.4325000128126693</v>
      </c>
      <c r="H316" s="3" cm="1">
        <f t="array" ref="H316">SUM((_xlfn.NORM.DIST((F187:F315-F316),0,L316,TRUE)-_xlfn.NORM.DIST((F187:F315-F316-0.001),0,L316,TRUE))*(G187:G315+G317:G445))+G316*_xlfn.NORM.DIST(0,0,L316,TRUE)*2</f>
        <v>4.4722658522049619</v>
      </c>
      <c r="L316" s="3">
        <f t="shared" si="14"/>
        <v>3.0000000000000001E-3</v>
      </c>
    </row>
    <row r="317" spans="1:12" x14ac:dyDescent="0.4">
      <c r="A317" s="3">
        <v>-0.21800000000000003</v>
      </c>
      <c r="B317" s="3">
        <v>6.5031222009927816E-6</v>
      </c>
      <c r="C317" s="4">
        <f t="shared" si="13"/>
        <v>5.6915675536811663E-7</v>
      </c>
      <c r="D317" s="5">
        <f t="shared" si="12"/>
        <v>5.6915675536811663E-7</v>
      </c>
      <c r="F317" s="3">
        <v>0.315</v>
      </c>
      <c r="G317" s="3">
        <v>2.4287788056876565</v>
      </c>
      <c r="H317" s="3" cm="1">
        <f t="array" ref="H317">SUM((_xlfn.NORM.DIST((F188:F316-F317),0,L317,TRUE)-_xlfn.NORM.DIST((F188:F316-F317-0.001),0,L317,TRUE))*(G188:G316+G318:G446))+G317*_xlfn.NORM.DIST(0,0,L317,TRUE)*2</f>
        <v>4.4549354844187743</v>
      </c>
      <c r="L317" s="3">
        <f t="shared" si="14"/>
        <v>3.0000000000000001E-3</v>
      </c>
    </row>
    <row r="318" spans="1:12" x14ac:dyDescent="0.4">
      <c r="A318" s="3">
        <v>-0.21700000000000003</v>
      </c>
      <c r="B318" s="3">
        <v>7.1241358014953405E-6</v>
      </c>
      <c r="C318" s="4">
        <f t="shared" si="13"/>
        <v>6.210136005025589E-7</v>
      </c>
      <c r="D318" s="5">
        <f t="shared" si="12"/>
        <v>6.210136005025589E-7</v>
      </c>
      <c r="F318" s="3">
        <v>0.316</v>
      </c>
      <c r="G318" s="3">
        <v>2.4251212605471024</v>
      </c>
      <c r="H318" s="3" cm="1">
        <f t="array" ref="H318">SUM((_xlfn.NORM.DIST((F189:F317-F318),0,L318,TRUE)-_xlfn.NORM.DIST((F189:F317-F318-0.001),0,L318,TRUE))*(G189:G317+G319:G447))+G318*_xlfn.NORM.DIST(0,0,L318,TRUE)*2</f>
        <v>4.4374030045988544</v>
      </c>
      <c r="L318" s="3">
        <f t="shared" si="14"/>
        <v>3.0000000000000001E-3</v>
      </c>
    </row>
    <row r="319" spans="1:12" x14ac:dyDescent="0.4">
      <c r="A319" s="3">
        <v>-0.21600000000000003</v>
      </c>
      <c r="B319" s="3">
        <v>7.801460038101338E-6</v>
      </c>
      <c r="C319" s="4">
        <f t="shared" si="13"/>
        <v>6.7732423660599754E-7</v>
      </c>
      <c r="D319" s="5">
        <f t="shared" si="12"/>
        <v>6.7732423660599754E-7</v>
      </c>
      <c r="F319" s="3">
        <v>0.317</v>
      </c>
      <c r="G319" s="3">
        <v>2.421525757564404</v>
      </c>
      <c r="H319" s="3" cm="1">
        <f t="array" ref="H319">SUM((_xlfn.NORM.DIST((F190:F318-F319),0,L319,TRUE)-_xlfn.NORM.DIST((F190:F318-F319-0.001),0,L319,TRUE))*(G190:G318+G320:G448))+G319*_xlfn.NORM.DIST(0,0,L319,TRUE)*2</f>
        <v>4.4199929507076767</v>
      </c>
      <c r="L319" s="3">
        <f t="shared" si="14"/>
        <v>3.0000000000000001E-3</v>
      </c>
    </row>
    <row r="320" spans="1:12" x14ac:dyDescent="0.4">
      <c r="A320" s="3">
        <v>-0.21500000000000002</v>
      </c>
      <c r="B320" s="3">
        <v>8.5399054709917942E-6</v>
      </c>
      <c r="C320" s="4">
        <f t="shared" si="13"/>
        <v>7.3844543289045614E-7</v>
      </c>
      <c r="D320" s="5">
        <f t="shared" si="12"/>
        <v>7.3844543289045614E-7</v>
      </c>
      <c r="F320" s="3">
        <v>0.318</v>
      </c>
      <c r="G320" s="3">
        <v>2.4179907314040592</v>
      </c>
      <c r="H320" s="3" cm="1">
        <f t="array" ref="H320">SUM((_xlfn.NORM.DIST((F191:F319-F320),0,L320,TRUE)-_xlfn.NORM.DIST((F191:F319-F320-0.001),0,L320,TRUE))*(G191:G319+G321:G449))+G320*_xlfn.NORM.DIST(0,0,L320,TRUE)*2</f>
        <v>4.402892596898603</v>
      </c>
      <c r="L320" s="3">
        <f t="shared" si="14"/>
        <v>3.0000000000000001E-3</v>
      </c>
    </row>
    <row r="321" spans="1:12" x14ac:dyDescent="0.4">
      <c r="A321" s="3">
        <v>-0.21400000000000002</v>
      </c>
      <c r="B321" s="3">
        <v>9.344665670196337E-6</v>
      </c>
      <c r="C321" s="4">
        <f t="shared" si="13"/>
        <v>8.0476019920454283E-7</v>
      </c>
      <c r="D321" s="5">
        <f t="shared" si="12"/>
        <v>8.0476019920454283E-7</v>
      </c>
      <c r="F321" s="3">
        <v>0.31900000000000001</v>
      </c>
      <c r="G321" s="3">
        <v>2.4145146689495527</v>
      </c>
      <c r="H321" s="3" cm="1">
        <f t="array" ref="H321">SUM((_xlfn.NORM.DIST((F192:F320-F321),0,L321,TRUE)-_xlfn.NORM.DIST((F192:F320-F321-0.001),0,L321,TRUE))*(G192:G320+G322:G450))+G321*_xlfn.NORM.DIST(0,0,L321,TRUE)*2</f>
        <v>4.3861917418009622</v>
      </c>
      <c r="L321" s="3">
        <f t="shared" si="14"/>
        <v>3.0000000000000001E-3</v>
      </c>
    </row>
    <row r="322" spans="1:12" x14ac:dyDescent="0.4">
      <c r="A322" s="3">
        <v>-0.21300000000000002</v>
      </c>
      <c r="B322" s="3">
        <v>1.0221345183984058E-5</v>
      </c>
      <c r="C322" s="4">
        <f t="shared" si="13"/>
        <v>8.7667951378772128E-7</v>
      </c>
      <c r="D322" s="5">
        <f t="shared" ref="D322:D385" si="15">C322</f>
        <v>8.7667951378772128E-7</v>
      </c>
      <c r="F322" s="3">
        <v>0.32</v>
      </c>
      <c r="G322" s="3">
        <v>2.4110961071449939</v>
      </c>
      <c r="H322" s="3" cm="1">
        <f t="array" ref="H322">SUM((_xlfn.NORM.DIST((F193:F321-F322),0,L322,TRUE)-_xlfn.NORM.DIST((F193:F321-F322-0.001),0,L322,TRUE))*(G193:G321+G323:G451))+G322*_xlfn.NORM.DIST(0,0,L322,TRUE)*2</f>
        <v>4.369921990884432</v>
      </c>
      <c r="L322" s="3">
        <f t="shared" si="14"/>
        <v>3.0000000000000001E-3</v>
      </c>
    </row>
    <row r="323" spans="1:12" x14ac:dyDescent="0.4">
      <c r="A323" s="3">
        <v>-0.21200000000000002</v>
      </c>
      <c r="B323" s="3">
        <v>1.1175989332120527E-5</v>
      </c>
      <c r="C323" s="4">
        <f t="shared" ref="C323:C386" si="16">B323-B322</f>
        <v>9.5464414813646864E-7</v>
      </c>
      <c r="D323" s="5">
        <f t="shared" si="15"/>
        <v>9.5464414813646864E-7</v>
      </c>
      <c r="F323" s="3">
        <v>0.32100000000000001</v>
      </c>
      <c r="G323" s="3">
        <v>2.4077336309384978</v>
      </c>
      <c r="H323" s="3" cm="1">
        <f t="array" ref="H323">SUM((_xlfn.NORM.DIST((F194:F322-F323),0,L323,TRUE)-_xlfn.NORM.DIST((F194:F322-F323-0.001),0,L323,TRUE))*(G194:G322+G324:G452))+G323*_xlfn.NORM.DIST(0,0,L323,TRUE)*2</f>
        <v>4.3540853221069682</v>
      </c>
      <c r="L323" s="3">
        <f t="shared" si="14"/>
        <v>3.0000000000000001E-3</v>
      </c>
    </row>
    <row r="324" spans="1:12" x14ac:dyDescent="0.4">
      <c r="A324" s="3">
        <v>-0.21100000000000002</v>
      </c>
      <c r="B324" s="3">
        <v>1.2215115925253023E-5</v>
      </c>
      <c r="C324" s="4">
        <f t="shared" si="16"/>
        <v>1.0391265931324964E-6</v>
      </c>
      <c r="D324" s="5">
        <f t="shared" si="15"/>
        <v>1.0391265931324964E-6</v>
      </c>
      <c r="F324" s="3">
        <v>0.32200000000000001</v>
      </c>
      <c r="G324" s="3">
        <v>2.4044258713328897</v>
      </c>
      <c r="H324" s="3" cm="1">
        <f t="array" ref="H324">SUM((_xlfn.NORM.DIST((F195:F323-F324),0,L324,TRUE)-_xlfn.NORM.DIST((F195:F323-F324-0.001),0,L324,TRUE))*(G195:G323+G325:G453))+G324*_xlfn.NORM.DIST(0,0,L324,TRUE)*2</f>
        <v>4.3386709238482188</v>
      </c>
      <c r="L324" s="3">
        <f t="shared" ref="L324:L387" si="17">L323</f>
        <v>3.0000000000000001E-3</v>
      </c>
    </row>
    <row r="325" spans="1:12" x14ac:dyDescent="0.4">
      <c r="A325" s="3">
        <v>-0.21000000000000002</v>
      </c>
      <c r="B325" s="3">
        <v>1.3345749015906309E-5</v>
      </c>
      <c r="C325" s="4">
        <f t="shared" si="16"/>
        <v>1.1306330906532854E-6</v>
      </c>
      <c r="D325" s="5">
        <f t="shared" si="15"/>
        <v>1.1306330906532854E-6</v>
      </c>
      <c r="F325" s="3">
        <v>0.32300000000000001</v>
      </c>
      <c r="G325" s="3">
        <v>2.4011715035267582</v>
      </c>
      <c r="H325" s="3" cm="1">
        <f t="array" ref="H325">SUM((_xlfn.NORM.DIST((F196:F324-F325),0,L325,TRUE)-_xlfn.NORM.DIST((F196:F324-F325-0.001),0,L325,TRUE))*(G196:G324+G326:G454))+G325*_xlfn.NORM.DIST(0,0,L325,TRUE)*2</f>
        <v>4.3236635411534854</v>
      </c>
      <c r="L325" s="3">
        <f t="shared" si="17"/>
        <v>3.0000000000000001E-3</v>
      </c>
    </row>
    <row r="326" spans="1:12" x14ac:dyDescent="0.4">
      <c r="A326" s="3">
        <v>-0.20900000000000002</v>
      </c>
      <c r="B326" s="3">
        <v>1.457545479086704E-5</v>
      </c>
      <c r="C326" s="4">
        <f t="shared" si="16"/>
        <v>1.2297057749607313E-6</v>
      </c>
      <c r="D326" s="5">
        <f t="shared" si="15"/>
        <v>1.2297057749607313E-6</v>
      </c>
      <c r="F326" s="3">
        <v>0.32400000000000001</v>
      </c>
      <c r="G326" s="3">
        <v>2.3979692451437709</v>
      </c>
      <c r="H326" s="3" cm="1">
        <f t="array" ref="H326">SUM((_xlfn.NORM.DIST((F197:F325-F326),0,L326,TRUE)-_xlfn.NORM.DIST((F197:F325-F326-0.001),0,L326,TRUE))*(G197:G325+G327:G455))+G326*_xlfn.NORM.DIST(0,0,L326,TRUE)*2</f>
        <v>4.3090470071171598</v>
      </c>
      <c r="L326" s="3">
        <f t="shared" si="17"/>
        <v>3.0000000000000001E-3</v>
      </c>
    </row>
    <row r="327" spans="1:12" x14ac:dyDescent="0.4">
      <c r="A327" s="3">
        <v>-0.20800000000000002</v>
      </c>
      <c r="B327" s="3">
        <v>1.5912379719082162E-5</v>
      </c>
      <c r="C327" s="4">
        <f t="shared" si="16"/>
        <v>1.3369249282151223E-6</v>
      </c>
      <c r="D327" s="5">
        <f t="shared" si="15"/>
        <v>1.3369249282151223E-6</v>
      </c>
      <c r="F327" s="3">
        <v>0.32500000000000001</v>
      </c>
      <c r="G327" s="3">
        <v>2.3948178545488537</v>
      </c>
      <c r="H327" s="3" cm="1">
        <f t="array" ref="H327">SUM((_xlfn.NORM.DIST((F198:F326-F327),0,L327,TRUE)-_xlfn.NORM.DIST((F198:F326-F327-0.001),0,L327,TRUE))*(G198:G326+G328:G456))+G327*_xlfn.NORM.DIST(0,0,L327,TRUE)*2</f>
        <v>4.2948055140443966</v>
      </c>
      <c r="L327" s="3">
        <f t="shared" si="17"/>
        <v>3.0000000000000001E-3</v>
      </c>
    </row>
    <row r="328" spans="1:12" x14ac:dyDescent="0.4">
      <c r="A328" s="3">
        <v>-0.20700000000000002</v>
      </c>
      <c r="B328" s="3">
        <v>1.7365291073604036E-5</v>
      </c>
      <c r="C328" s="4">
        <f t="shared" si="16"/>
        <v>1.4529113545218735E-6</v>
      </c>
      <c r="D328" s="5">
        <f t="shared" si="15"/>
        <v>1.4529113545218735E-6</v>
      </c>
      <c r="F328" s="3">
        <v>0.32600000000000001</v>
      </c>
      <c r="G328" s="3">
        <v>2.3917161292436075</v>
      </c>
      <c r="H328" s="3" cm="1">
        <f t="array" ref="H328">SUM((_xlfn.NORM.DIST((F199:F327-F328),0,L328,TRUE)-_xlfn.NORM.DIST((F199:F327-F328-0.001),0,L328,TRUE))*(G199:G327+G329:G457))+G328*_xlfn.NORM.DIST(0,0,L328,TRUE)*2</f>
        <v>4.2809239840895801</v>
      </c>
      <c r="L328" s="3">
        <f t="shared" si="17"/>
        <v>3.0000000000000001E-3</v>
      </c>
    </row>
    <row r="329" spans="1:12" x14ac:dyDescent="0.4">
      <c r="A329" s="3">
        <v>-0.20600000000000002</v>
      </c>
      <c r="B329" s="3">
        <v>1.8943619950553226E-5</v>
      </c>
      <c r="C329" s="4">
        <f t="shared" si="16"/>
        <v>1.5783288769491901E-6</v>
      </c>
      <c r="D329" s="5">
        <f t="shared" si="15"/>
        <v>1.5783288769491901E-6</v>
      </c>
      <c r="F329" s="3">
        <v>0.32700000000000001</v>
      </c>
      <c r="G329" s="3">
        <v>2.3886629043327154</v>
      </c>
      <c r="H329" s="3" cm="1">
        <f t="array" ref="H329">SUM((_xlfn.NORM.DIST((F200:F328-F329),0,L329,TRUE)-_xlfn.NORM.DIST((F200:F328-F329-0.001),0,L329,TRUE))*(G200:G328+G330:G458))+G329*_xlfn.NORM.DIST(0,0,L329,TRUE)*2</f>
        <v>4.2673881324353307</v>
      </c>
      <c r="L329" s="3">
        <f t="shared" si="17"/>
        <v>3.0000000000000001E-3</v>
      </c>
    </row>
    <row r="330" spans="1:12" x14ac:dyDescent="0.4">
      <c r="A330" s="3">
        <v>-0.20500000000000002</v>
      </c>
      <c r="B330" s="3">
        <v>2.0657506912546714E-5</v>
      </c>
      <c r="C330" s="4">
        <f t="shared" si="16"/>
        <v>1.7138869619934877E-6</v>
      </c>
      <c r="D330" s="5">
        <f t="shared" si="15"/>
        <v>1.7138869619934877E-6</v>
      </c>
      <c r="F330" s="3">
        <v>0.32800000000000001</v>
      </c>
      <c r="G330" s="3">
        <v>2.3856570510716577</v>
      </c>
      <c r="H330" s="3" cm="1">
        <f t="array" ref="H330">SUM((_xlfn.NORM.DIST((F201:F329-F330),0,L330,TRUE)-_xlfn.NORM.DIST((F201:F329-F330-0.001),0,L330,TRUE))*(G201:G329+G331:G459))+G330*_xlfn.NORM.DIST(0,0,L330,TRUE)*2</f>
        <v>4.2541844414582703</v>
      </c>
      <c r="L330" s="3">
        <f t="shared" si="17"/>
        <v>3.0000000000000001E-3</v>
      </c>
    </row>
    <row r="331" spans="1:12" x14ac:dyDescent="0.4">
      <c r="A331" s="3">
        <v>-0.20400000000000001</v>
      </c>
      <c r="B331" s="3">
        <v>2.251785038852539E-5</v>
      </c>
      <c r="C331" s="4">
        <f t="shared" si="16"/>
        <v>1.8603434759786763E-6</v>
      </c>
      <c r="D331" s="5">
        <f t="shared" si="15"/>
        <v>1.8603434759786763E-6</v>
      </c>
      <c r="F331" s="3">
        <v>0.32900000000000001</v>
      </c>
      <c r="G331" s="3">
        <v>2.3826974754693087</v>
      </c>
      <c r="H331" s="3" cm="1">
        <f t="array" ref="H331">SUM((_xlfn.NORM.DIST((F202:F330-F331),0,L331,TRUE)-_xlfn.NORM.DIST((F202:F330-F331-0.001),0,L331,TRUE))*(G202:G330+G332:G460))+G331*_xlfn.NORM.DIST(0,0,L331,TRUE)*2</f>
        <v>4.2413001147885669</v>
      </c>
      <c r="L331" s="3">
        <f t="shared" si="17"/>
        <v>3.0000000000000001E-3</v>
      </c>
    </row>
    <row r="332" spans="1:12" x14ac:dyDescent="0.4">
      <c r="A332" s="3">
        <v>-0.20300000000000001</v>
      </c>
      <c r="B332" s="3">
        <v>2.4536357966409732E-5</v>
      </c>
      <c r="C332" s="4">
        <f t="shared" si="16"/>
        <v>2.0185075778843423E-6</v>
      </c>
      <c r="D332" s="5">
        <f t="shared" si="15"/>
        <v>2.0185075778843423E-6</v>
      </c>
      <c r="F332" s="3">
        <v>0.33</v>
      </c>
      <c r="G332" s="3">
        <v>2.3797831169646644</v>
      </c>
      <c r="H332" s="3" cm="1">
        <f t="array" ref="H332">SUM((_xlfn.NORM.DIST((F203:F331-F332),0,L332,TRUE)-_xlfn.NORM.DIST((F203:F331-F332-0.001),0,L332,TRUE))*(G203:G331+G333:G461))+G332*_xlfn.NORM.DIST(0,0,L332,TRUE)*2</f>
        <v>4.2287230299486929</v>
      </c>
      <c r="L332" s="3">
        <f t="shared" si="17"/>
        <v>3.0000000000000001E-3</v>
      </c>
    </row>
    <row r="333" spans="1:12" x14ac:dyDescent="0.4">
      <c r="A333" s="3">
        <v>-0.20200000000000001</v>
      </c>
      <c r="B333" s="3">
        <v>2.6725600719492029E-5</v>
      </c>
      <c r="C333" s="4">
        <f t="shared" si="16"/>
        <v>2.1892427530822966E-6</v>
      </c>
      <c r="D333" s="5">
        <f t="shared" si="15"/>
        <v>2.1892427530822966E-6</v>
      </c>
      <c r="F333" s="3">
        <v>0.33100000000000002</v>
      </c>
      <c r="G333" s="3">
        <v>2.3769129471583677</v>
      </c>
      <c r="H333" s="3" cm="1">
        <f t="array" ref="H333">SUM((_xlfn.NORM.DIST((F204:F332-F333),0,L333,TRUE)-_xlfn.NORM.DIST((F204:F332-F333-0.001),0,L333,TRUE))*(G204:G332+G334:G462))+G333*_xlfn.NORM.DIST(0,0,L333,TRUE)*2</f>
        <v>4.2164223472976543</v>
      </c>
      <c r="L333" s="3">
        <f t="shared" si="17"/>
        <v>3.0000000000000001E-3</v>
      </c>
    </row>
    <row r="334" spans="1:12" x14ac:dyDescent="0.4">
      <c r="A334" s="3">
        <v>-0.20100000000000001</v>
      </c>
      <c r="B334" s="3">
        <v>2.9099070711930998E-5</v>
      </c>
      <c r="C334" s="4">
        <f t="shared" si="16"/>
        <v>2.3734699924389687E-6</v>
      </c>
      <c r="D334" s="5">
        <f t="shared" si="15"/>
        <v>2.3734699924389687E-6</v>
      </c>
      <c r="F334" s="3">
        <v>0.33200000000000002</v>
      </c>
      <c r="G334" s="3">
        <v>2.3740859685997249</v>
      </c>
      <c r="H334" s="3" cm="1">
        <f t="array" ref="H334">SUM((_xlfn.NORM.DIST((F205:F333-F334),0,L334,TRUE)-_xlfn.NORM.DIST((F205:F333-F334-0.001),0,L334,TRUE))*(G205:G333+G335:G463))+G334*_xlfn.NORM.DIST(0,0,L334,TRUE)*2</f>
        <v>4.204294844658806</v>
      </c>
      <c r="L334" s="3">
        <f t="shared" si="17"/>
        <v>3.0000000000000001E-3</v>
      </c>
    </row>
    <row r="335" spans="1:12" x14ac:dyDescent="0.4">
      <c r="A335" s="3">
        <v>-0.2</v>
      </c>
      <c r="B335" s="3">
        <v>3.1671241833119857E-5</v>
      </c>
      <c r="C335" s="4">
        <f t="shared" si="16"/>
        <v>2.572171121188859E-6</v>
      </c>
      <c r="D335" s="5">
        <f t="shared" si="15"/>
        <v>2.572171121188859E-6</v>
      </c>
      <c r="F335" s="3">
        <v>0.33300000000000002</v>
      </c>
      <c r="G335" s="3">
        <v>2.3713012136365981</v>
      </c>
      <c r="H335" s="3" cm="1">
        <f t="array" ref="H335">SUM((_xlfn.NORM.DIST((F206:F334-F335),0,L335,TRUE)-_xlfn.NORM.DIST((F206:F334-F335-0.001),0,L335,TRUE))*(G206:G334+G336:G464))+G335*_xlfn.NORM.DIST(0,0,L335,TRUE)*2</f>
        <v>4.1923584646076382</v>
      </c>
      <c r="L335" s="3">
        <f t="shared" si="17"/>
        <v>3.0000000000000001E-3</v>
      </c>
    </row>
    <row r="336" spans="1:12" x14ac:dyDescent="0.4">
      <c r="A336" s="3">
        <v>-0.19900000000000001</v>
      </c>
      <c r="B336" s="3">
        <v>3.4457634115053068E-5</v>
      </c>
      <c r="C336" s="4">
        <f t="shared" si="16"/>
        <v>2.7863922819332113E-6</v>
      </c>
      <c r="D336" s="5">
        <f t="shared" si="15"/>
        <v>2.7863922819332113E-6</v>
      </c>
      <c r="F336" s="3">
        <v>0.33400000000000002</v>
      </c>
      <c r="G336" s="3">
        <v>2.3685577433075138</v>
      </c>
      <c r="H336" s="3" cm="1">
        <f t="array" ref="H336">SUM((_xlfn.NORM.DIST((F207:F335-F336),0,L336,TRUE)-_xlfn.NORM.DIST((F207:F335-F336-0.001),0,L336,TRUE))*(G207:G335+G337:G465))+G336*_xlfn.NORM.DIST(0,0,L336,TRUE)*2</f>
        <v>4.1806327299065611</v>
      </c>
      <c r="L336" s="3">
        <f t="shared" si="17"/>
        <v>3.0000000000000001E-3</v>
      </c>
    </row>
    <row r="337" spans="1:12" x14ac:dyDescent="0.4">
      <c r="A337" s="3">
        <v>-0.19800000000000001</v>
      </c>
      <c r="B337" s="3">
        <v>3.747488169107341E-5</v>
      </c>
      <c r="C337" s="4">
        <f t="shared" si="16"/>
        <v>3.0172475760203418E-6</v>
      </c>
      <c r="D337" s="5">
        <f t="shared" si="15"/>
        <v>3.0172475760203418E-6</v>
      </c>
      <c r="F337" s="3">
        <v>0.33500000000000002</v>
      </c>
      <c r="G337" s="3">
        <v>2.3658546462857126</v>
      </c>
      <c r="H337" s="3" cm="1">
        <f t="array" ref="H337">SUM((_xlfn.NORM.DIST((F208:F336-F337),0,L337,TRUE)-_xlfn.NORM.DIST((F208:F336-F337-0.001),0,L337,TRUE))*(G208:G336+G338:G466))+G337*_xlfn.NORM.DIST(0,0,L337,TRUE)*2</f>
        <v>4.1688106727053968</v>
      </c>
      <c r="L337" s="3">
        <f t="shared" si="17"/>
        <v>3.0000000000000001E-3</v>
      </c>
    </row>
    <row r="338" spans="1:12" x14ac:dyDescent="0.4">
      <c r="A338" s="3">
        <v>-0.19700000000000001</v>
      </c>
      <c r="B338" s="3">
        <v>4.0740804558550716E-5</v>
      </c>
      <c r="C338" s="4">
        <f t="shared" si="16"/>
        <v>3.265922867477306E-6</v>
      </c>
      <c r="D338" s="5">
        <f t="shared" si="15"/>
        <v>3.265922867477306E-6</v>
      </c>
      <c r="F338" s="3">
        <v>0.33600000000000002</v>
      </c>
      <c r="G338" s="3">
        <v>2.3631910378720153</v>
      </c>
      <c r="H338" s="3" cm="1">
        <f t="array" ref="H338">SUM((_xlfn.NORM.DIST((F209:F337-F338),0,L338,TRUE)-_xlfn.NORM.DIST((F209:F337-F338-0.001),0,L338,TRUE))*(G209:G337+G339:G467))+G338*_xlfn.NORM.DIST(0,0,L338,TRUE)*2</f>
        <v>4.1565776770904943</v>
      </c>
      <c r="L338" s="3">
        <f t="shared" si="17"/>
        <v>3.0000000000000001E-3</v>
      </c>
    </row>
    <row r="339" spans="1:12" x14ac:dyDescent="0.4">
      <c r="A339" s="3">
        <v>-0.19600000000000001</v>
      </c>
      <c r="B339" s="3">
        <v>4.4274484312070743E-5</v>
      </c>
      <c r="C339" s="4">
        <f t="shared" si="16"/>
        <v>3.5336797535200277E-6</v>
      </c>
      <c r="D339" s="5">
        <f t="shared" si="15"/>
        <v>3.5336797535200277E-6</v>
      </c>
      <c r="F339" s="3">
        <v>0.33700000000000002</v>
      </c>
      <c r="G339" s="3">
        <v>2.3605660590289776</v>
      </c>
      <c r="H339" s="3" cm="1">
        <f t="array" ref="H339">SUM((_xlfn.NORM.DIST((F210:F338-F339),0,L339,TRUE)-_xlfn.NORM.DIST((F210:F338-F339-0.001),0,L339,TRUE))*(G210:G338+G340:G468))+G339*_xlfn.NORM.DIST(0,0,L339,TRUE)*2</f>
        <v>4.1441284234415843</v>
      </c>
      <c r="L339" s="3">
        <f t="shared" si="17"/>
        <v>3.0000000000000001E-3</v>
      </c>
    </row>
    <row r="340" spans="1:12" x14ac:dyDescent="0.4">
      <c r="A340" s="3">
        <v>-0.19500000000000001</v>
      </c>
      <c r="B340" s="3">
        <v>4.8096344017602614E-5</v>
      </c>
      <c r="C340" s="4">
        <f t="shared" si="16"/>
        <v>3.8218597055318711E-6</v>
      </c>
      <c r="D340" s="5">
        <f t="shared" si="15"/>
        <v>3.8218597055318711E-6</v>
      </c>
      <c r="F340" s="3">
        <v>0.33800000000000002</v>
      </c>
      <c r="G340" s="3">
        <v>2.3579788754538376</v>
      </c>
      <c r="H340" s="3" cm="1">
        <f t="array" ref="H340">SUM((_xlfn.NORM.DIST((F211:F339-F340),0,L340,TRUE)-_xlfn.NORM.DIST((F211:F339-F340-0.001),0,L340,TRUE))*(G211:G339+G341:G469))+G340*_xlfn.NORM.DIST(0,0,L340,TRUE)*2</f>
        <v>4.1316459063617303</v>
      </c>
      <c r="L340" s="3">
        <f t="shared" si="17"/>
        <v>3.0000000000000001E-3</v>
      </c>
    </row>
    <row r="341" spans="1:12" x14ac:dyDescent="0.4">
      <c r="A341" s="3">
        <v>-0.19400000000000001</v>
      </c>
      <c r="B341" s="3">
        <v>5.2228232401820074E-5</v>
      </c>
      <c r="C341" s="4">
        <f t="shared" si="16"/>
        <v>4.1318883842174592E-6</v>
      </c>
      <c r="D341" s="5">
        <f t="shared" si="15"/>
        <v>4.1318883842174592E-6</v>
      </c>
      <c r="F341" s="3">
        <v>0.33900000000000002</v>
      </c>
      <c r="G341" s="3">
        <v>2.3554286766997752</v>
      </c>
      <c r="H341" s="3" cm="1">
        <f t="array" ref="H341">SUM((_xlfn.NORM.DIST((F212:F340-F341),0,L341,TRUE)-_xlfn.NORM.DIST((F212:F340-F341-0.001),0,L341,TRUE))*(G212:G340+G342:G470))+G341*_xlfn.NORM.DIST(0,0,L341,TRUE)*2</f>
        <v>4.1192751096468392</v>
      </c>
      <c r="L341" s="3">
        <f t="shared" si="17"/>
        <v>3.0000000000000001E-3</v>
      </c>
    </row>
    <row r="342" spans="1:12" x14ac:dyDescent="0.4">
      <c r="A342" s="3">
        <v>-0.193</v>
      </c>
      <c r="B342" s="3">
        <v>5.6693512534256526E-5</v>
      </c>
      <c r="C342" s="4">
        <f t="shared" si="16"/>
        <v>4.4652801324364521E-6</v>
      </c>
      <c r="D342" s="5">
        <f t="shared" si="15"/>
        <v>4.4652801324364521E-6</v>
      </c>
      <c r="F342" s="3">
        <v>0.34</v>
      </c>
      <c r="G342" s="3">
        <v>2.352914675326538</v>
      </c>
      <c r="H342" s="3" cm="1">
        <f t="array" ref="H342">SUM((_xlfn.NORM.DIST((F213:F341-F342),0,L342,TRUE)-_xlfn.NORM.DIST((F213:F341-F342-0.001),0,L342,TRUE))*(G213:G341+G343:G471))+G342*_xlfn.NORM.DIST(0,0,L342,TRUE)*2</f>
        <v>4.1071135728880481</v>
      </c>
      <c r="L342" s="3">
        <f t="shared" si="17"/>
        <v>3.0000000000000001E-3</v>
      </c>
    </row>
    <row r="343" spans="1:12" x14ac:dyDescent="0.4">
      <c r="A343" s="3">
        <v>-0.192</v>
      </c>
      <c r="B343" s="3">
        <v>6.1517155183255203E-5</v>
      </c>
      <c r="C343" s="4">
        <f t="shared" si="16"/>
        <v>4.8236426489986777E-6</v>
      </c>
      <c r="D343" s="5">
        <f t="shared" si="15"/>
        <v>4.8236426489986777E-6</v>
      </c>
      <c r="F343" s="3">
        <v>0.34100000000000003</v>
      </c>
      <c r="G343" s="3">
        <v>2.3504361060886478</v>
      </c>
      <c r="H343" s="3" cm="1">
        <f t="array" ref="H343">SUM((_xlfn.NORM.DIST((F214:F342-F343),0,L343,TRUE)-_xlfn.NORM.DIST((F214:F342-F343-0.001),0,L343,TRUE))*(G214:G342+G344:G472))+G343*_xlfn.NORM.DIST(0,0,L343,TRUE)*2</f>
        <v>4.0952160544171514</v>
      </c>
      <c r="L343" s="3">
        <f t="shared" si="17"/>
        <v>3.0000000000000001E-3</v>
      </c>
    </row>
    <row r="344" spans="1:12" x14ac:dyDescent="0.4">
      <c r="A344" s="3">
        <v>-0.191</v>
      </c>
      <c r="B344" s="3">
        <v>6.6725837029684654E-5</v>
      </c>
      <c r="C344" s="4">
        <f t="shared" si="16"/>
        <v>5.208681846429451E-6</v>
      </c>
      <c r="D344" s="5">
        <f t="shared" si="15"/>
        <v>5.208681846429451E-6</v>
      </c>
      <c r="F344" s="3">
        <v>0.34200000000000003</v>
      </c>
      <c r="G344" s="3">
        <v>2.3479922251617649</v>
      </c>
      <c r="H344" s="3" cm="1">
        <f t="array" ref="H344">SUM((_xlfn.NORM.DIST((F215:F343-F344),0,L344,TRUE)-_xlfn.NORM.DIST((F215:F343-F344-0.001),0,L344,TRUE))*(G215:G343+G345:G473))+G344*_xlfn.NORM.DIST(0,0,L344,TRUE)*2</f>
        <v>4.0836062116227829</v>
      </c>
      <c r="L344" s="3">
        <f t="shared" si="17"/>
        <v>3.0000000000000001E-3</v>
      </c>
    </row>
    <row r="345" spans="1:12" x14ac:dyDescent="0.4">
      <c r="A345" s="3">
        <v>-0.19</v>
      </c>
      <c r="B345" s="3">
        <v>7.234804392511999E-5</v>
      </c>
      <c r="C345" s="4">
        <f t="shared" si="16"/>
        <v>5.6222068954353354E-6</v>
      </c>
      <c r="D345" s="5">
        <f t="shared" si="15"/>
        <v>5.6222068954353354E-6</v>
      </c>
      <c r="F345" s="3">
        <v>0.34300000000000003</v>
      </c>
      <c r="G345" s="3">
        <v>4.1799636323291942</v>
      </c>
      <c r="H345" s="3" cm="1">
        <f t="array" ref="H345">SUM((_xlfn.NORM.DIST((F216:F344-F345),0,L345,TRUE)-_xlfn.NORM.DIST((F216:F344-F345-0.001),0,L345,TRUE))*(G216:G344+G346:G474))+G345*_xlfn.NORM.DIST(0,0,L345,TRUE)*2</f>
        <v>5.9066701053649826</v>
      </c>
      <c r="L345" s="3">
        <f t="shared" si="17"/>
        <v>3.0000000000000001E-3</v>
      </c>
    </row>
    <row r="346" spans="1:12" x14ac:dyDescent="0.4">
      <c r="A346" s="3">
        <v>-0.189</v>
      </c>
      <c r="B346" s="3">
        <v>7.8414179383585065E-5</v>
      </c>
      <c r="C346" s="4">
        <f t="shared" si="16"/>
        <v>6.0661354584650752E-6</v>
      </c>
      <c r="D346" s="5">
        <f t="shared" si="15"/>
        <v>6.0661354584650752E-6</v>
      </c>
      <c r="F346" s="3">
        <v>0.34400000000000003</v>
      </c>
      <c r="G346" s="3">
        <v>4.1649277924938799</v>
      </c>
      <c r="H346" s="3" cm="1">
        <f t="array" ref="H346">SUM((_xlfn.NORM.DIST((F217:F345-F346),0,L346,TRUE)-_xlfn.NORM.DIST((F217:F345-F346-0.001),0,L346,TRUE))*(G217:G345+G347:G475))+G346*_xlfn.NORM.DIST(0,0,L346,TRUE)*2</f>
        <v>6.0975096200366536</v>
      </c>
      <c r="L346" s="3">
        <f t="shared" si="17"/>
        <v>3.0000000000000001E-3</v>
      </c>
    </row>
    <row r="347" spans="1:12" x14ac:dyDescent="0.4">
      <c r="A347" s="3">
        <v>-0.188</v>
      </c>
      <c r="B347" s="3">
        <v>8.4956678497997889E-5</v>
      </c>
      <c r="C347" s="4">
        <f t="shared" si="16"/>
        <v>6.542499114412824E-6</v>
      </c>
      <c r="D347" s="5">
        <f t="shared" si="15"/>
        <v>6.542499114412824E-6</v>
      </c>
      <c r="F347" s="3">
        <v>0.34500000000000003</v>
      </c>
      <c r="G347" s="3">
        <v>4.150098056956697</v>
      </c>
      <c r="H347" s="3" cm="1">
        <f t="array" ref="H347">SUM((_xlfn.NORM.DIST((F218:F346-F347),0,L347,TRUE)-_xlfn.NORM.DIST((F218:F346-F347-0.001),0,L347,TRUE))*(G218:G346+G348:G476))+G347*_xlfn.NORM.DIST(0,0,L347,TRUE)*2</f>
        <v>6.2449251618911852</v>
      </c>
      <c r="L347" s="3">
        <f t="shared" si="17"/>
        <v>3.0000000000000001E-3</v>
      </c>
    </row>
    <row r="348" spans="1:12" x14ac:dyDescent="0.4">
      <c r="A348" s="3">
        <v>-0.187</v>
      </c>
      <c r="B348" s="3">
        <v>9.2010127474105566E-5</v>
      </c>
      <c r="C348" s="4">
        <f t="shared" si="16"/>
        <v>7.0534489761076772E-6</v>
      </c>
      <c r="D348" s="5">
        <f t="shared" si="15"/>
        <v>7.0534489761076772E-6</v>
      </c>
      <c r="F348" s="3">
        <v>0.34600000000000003</v>
      </c>
      <c r="G348" s="3">
        <v>4.1354702167917594</v>
      </c>
      <c r="H348" s="3" cm="1">
        <f t="array" ref="H348">SUM((_xlfn.NORM.DIST((F219:F347-F348),0,L348,TRUE)-_xlfn.NORM.DIST((F219:F347-F348-0.001),0,L348,TRUE))*(G219:G347+G349:G477))+G348*_xlfn.NORM.DIST(0,0,L348,TRUE)*2</f>
        <v>6.3431957040984788</v>
      </c>
      <c r="L348" s="3">
        <f t="shared" si="17"/>
        <v>3.0000000000000001E-3</v>
      </c>
    </row>
    <row r="349" spans="1:12" x14ac:dyDescent="0.4">
      <c r="A349" s="3">
        <v>-0.186</v>
      </c>
      <c r="B349" s="3">
        <v>9.9611388975916695E-5</v>
      </c>
      <c r="C349" s="4">
        <f t="shared" si="16"/>
        <v>7.6012615018111285E-6</v>
      </c>
      <c r="D349" s="5">
        <f t="shared" si="15"/>
        <v>7.6012615018111285E-6</v>
      </c>
      <c r="F349" s="3">
        <v>0.34700000000000003</v>
      </c>
      <c r="G349" s="3">
        <v>4.121040176901789</v>
      </c>
      <c r="H349" s="3" cm="1">
        <f t="array" ref="H349">SUM((_xlfn.NORM.DIST((F220:F348-F349),0,L349,TRUE)-_xlfn.NORM.DIST((F220:F348-F349-0.001),0,L349,TRUE))*(G220:G348+G350:G478))+G349*_xlfn.NORM.DIST(0,0,L349,TRUE)*2</f>
        <v>6.3951021534794243</v>
      </c>
      <c r="L349" s="3">
        <f t="shared" si="17"/>
        <v>3.0000000000000001E-3</v>
      </c>
    </row>
    <row r="350" spans="1:12" x14ac:dyDescent="0.4">
      <c r="A350" s="3">
        <v>-0.185</v>
      </c>
      <c r="B350" s="3">
        <v>1.0779973347738824E-4</v>
      </c>
      <c r="C350" s="4">
        <f t="shared" si="16"/>
        <v>8.1883445014715496E-6</v>
      </c>
      <c r="D350" s="5">
        <f t="shared" si="15"/>
        <v>8.1883445014715496E-6</v>
      </c>
      <c r="F350" s="3">
        <v>0.34800000000000003</v>
      </c>
      <c r="G350" s="3">
        <v>4.1068039521942072</v>
      </c>
      <c r="H350" s="3" cm="1">
        <f t="array" ref="H350">SUM((_xlfn.NORM.DIST((F221:F349-F350),0,L350,TRUE)-_xlfn.NORM.DIST((F221:F349-F350-0.001),0,L350,TRUE))*(G221:G349+G351:G479))+G350*_xlfn.NORM.DIST(0,0,L350,TRUE)*2</f>
        <v>6.4072992382017713</v>
      </c>
      <c r="L350" s="3">
        <f t="shared" si="17"/>
        <v>3.0000000000000001E-3</v>
      </c>
    </row>
    <row r="351" spans="1:12" x14ac:dyDescent="0.4">
      <c r="A351" s="3">
        <v>-0.184</v>
      </c>
      <c r="B351" s="3">
        <v>1.1661697681536817E-4</v>
      </c>
      <c r="C351" s="4">
        <f t="shared" si="16"/>
        <v>8.8172433379799274E-6</v>
      </c>
      <c r="D351" s="5">
        <f t="shared" si="15"/>
        <v>8.8172433379799274E-6</v>
      </c>
      <c r="F351" s="3">
        <v>0.34900000000000003</v>
      </c>
      <c r="G351" s="3">
        <v>4.0927576639107688</v>
      </c>
      <c r="H351" s="3" cm="1">
        <f t="array" ref="H351">SUM((_xlfn.NORM.DIST((F222:F350-F351),0,L351,TRUE)-_xlfn.NORM.DIST((F222:F350-F351-0.001),0,L351,TRUE))*(G222:G350+G352:G480))+G351*_xlfn.NORM.DIST(0,0,L351,TRUE)*2</f>
        <v>6.3934175654583516</v>
      </c>
      <c r="L351" s="3">
        <f t="shared" si="17"/>
        <v>3.0000000000000001E-3</v>
      </c>
    </row>
    <row r="352" spans="1:12" x14ac:dyDescent="0.4">
      <c r="A352" s="3">
        <v>-0.183</v>
      </c>
      <c r="B352" s="3">
        <v>1.2610762413848669E-4</v>
      </c>
      <c r="C352" s="4">
        <f t="shared" si="16"/>
        <v>9.4906473231185211E-6</v>
      </c>
      <c r="D352" s="5">
        <f t="shared" si="15"/>
        <v>9.4906473231185211E-6</v>
      </c>
      <c r="F352" s="3">
        <v>0.35000000000000003</v>
      </c>
      <c r="G352" s="3">
        <v>4.0788975361098085</v>
      </c>
      <c r="H352" s="3" cm="1">
        <f t="array" ref="H352">SUM((_xlfn.NORM.DIST((F223:F351-F352),0,L352,TRUE)-_xlfn.NORM.DIST((F223:F351-F352-0.001),0,L352,TRUE))*(G223:G351+G353:G481))+G352*_xlfn.NORM.DIST(0,0,L352,TRUE)*2</f>
        <v>6.3648451406811244</v>
      </c>
      <c r="L352" s="3">
        <f t="shared" si="17"/>
        <v>3.0000000000000001E-3</v>
      </c>
    </row>
    <row r="353" spans="1:12" x14ac:dyDescent="0.4">
      <c r="A353" s="3">
        <v>-0.182</v>
      </c>
      <c r="B353" s="3">
        <v>1.3631902044580204E-4</v>
      </c>
      <c r="C353" s="4">
        <f t="shared" si="16"/>
        <v>1.0211396307315348E-5</v>
      </c>
      <c r="D353" s="5">
        <f t="shared" si="15"/>
        <v>1.0211396307315348E-5</v>
      </c>
      <c r="F353" s="3">
        <v>0.35100000000000003</v>
      </c>
      <c r="G353" s="3">
        <v>4.0652198922771898</v>
      </c>
      <c r="H353" s="3" cm="1">
        <f t="array" ref="H353">SUM((_xlfn.NORM.DIST((F224:F352-F353),0,L353,TRUE)-_xlfn.NORM.DIST((F224:F352-F353-0.001),0,L353,TRUE))*(G224:G352+G354:G482))+G353*_xlfn.NORM.DIST(0,0,L353,TRUE)*2</f>
        <v>6.3294030861150734</v>
      </c>
      <c r="L353" s="3">
        <f t="shared" si="17"/>
        <v>3.0000000000000001E-3</v>
      </c>
    </row>
    <row r="354" spans="1:12" x14ac:dyDescent="0.4">
      <c r="A354" s="3">
        <v>-0.18100000000000005</v>
      </c>
      <c r="B354" s="3">
        <v>1.473015079074719E-4</v>
      </c>
      <c r="C354" s="4">
        <f t="shared" si="16"/>
        <v>1.0982487461669863E-5</v>
      </c>
      <c r="D354" s="5">
        <f t="shared" si="15"/>
        <v>1.0982487461669863E-5</v>
      </c>
      <c r="F354" s="3">
        <v>0.35199999999999998</v>
      </c>
      <c r="G354" s="3">
        <v>4.0517211520765271</v>
      </c>
      <c r="H354" s="3" cm="1">
        <f t="array" ref="H354">SUM((_xlfn.NORM.DIST((F225:F353-F354),0,L354,TRUE)-_xlfn.NORM.DIST((F225:F353-F354-0.001),0,L354,TRUE))*(G225:G353+G355:G483))+G354*_xlfn.NORM.DIST(0,0,L354,TRUE)*2</f>
        <v>6.2916551969206527</v>
      </c>
      <c r="L354" s="3">
        <f t="shared" si="17"/>
        <v>3.0000000000000001E-3</v>
      </c>
    </row>
    <row r="355" spans="1:12" x14ac:dyDescent="0.4">
      <c r="A355" s="3">
        <v>-0.18000000000000005</v>
      </c>
      <c r="B355" s="3">
        <v>1.5910859015753318E-4</v>
      </c>
      <c r="C355" s="4">
        <f t="shared" si="16"/>
        <v>1.1807082250061272E-5</v>
      </c>
      <c r="D355" s="5">
        <f t="shared" si="15"/>
        <v>1.1807082250061272E-5</v>
      </c>
      <c r="F355" s="3">
        <v>0.35299999999999998</v>
      </c>
      <c r="G355" s="3">
        <v>4.038397828225623</v>
      </c>
      <c r="H355" s="3" cm="1">
        <f t="array" ref="H355">SUM((_xlfn.NORM.DIST((F226:F354-F355),0,L355,TRUE)-_xlfn.NORM.DIST((F226:F354-F355-0.001),0,L355,TRUE))*(G226:G354+G356:G484))+G355*_xlfn.NORM.DIST(0,0,L355,TRUE)*2</f>
        <v>6.2538875666573093</v>
      </c>
      <c r="L355" s="3">
        <f t="shared" si="17"/>
        <v>3.0000000000000001E-3</v>
      </c>
    </row>
    <row r="356" spans="1:12" x14ac:dyDescent="0.4">
      <c r="A356" s="3">
        <v>-0.17900000000000005</v>
      </c>
      <c r="B356" s="3">
        <v>1.7179710374593012E-4</v>
      </c>
      <c r="C356" s="4">
        <f t="shared" si="16"/>
        <v>1.2688513588396947E-5</v>
      </c>
      <c r="D356" s="5">
        <f t="shared" si="15"/>
        <v>1.2688513588396947E-5</v>
      </c>
      <c r="F356" s="3">
        <v>0.35399999999999998</v>
      </c>
      <c r="G356" s="3">
        <v>4.0252465234879979</v>
      </c>
      <c r="H356" s="3" cm="1">
        <f t="array" ref="H356">SUM((_xlfn.NORM.DIST((F227:F355-F356),0,L356,TRUE)-_xlfn.NORM.DIST((F227:F355-F356-0.001),0,L356,TRUE))*(G227:G355+G357:G485))+G356*_xlfn.NORM.DIST(0,0,L356,TRUE)*2</f>
        <v>6.2170688955785023</v>
      </c>
      <c r="L356" s="3">
        <f t="shared" si="17"/>
        <v>3.0000000000000001E-3</v>
      </c>
    </row>
    <row r="357" spans="1:12" x14ac:dyDescent="0.4">
      <c r="A357" s="3">
        <v>-0.17800000000000005</v>
      </c>
      <c r="B357" s="3">
        <v>1.8542739693327734E-4</v>
      </c>
      <c r="C357" s="4">
        <f t="shared" si="16"/>
        <v>1.363029318734722E-5</v>
      </c>
      <c r="D357" s="5">
        <f t="shared" si="15"/>
        <v>1.363029318734722E-5</v>
      </c>
      <c r="F357" s="3">
        <v>0.35499999999999998</v>
      </c>
      <c r="G357" s="3">
        <v>4.0122639277932697</v>
      </c>
      <c r="H357" s="3" cm="1">
        <f t="array" ref="H357">SUM((_xlfn.NORM.DIST((F228:F356-F357),0,L357,TRUE)-_xlfn.NORM.DIST((F228:F356-F357-0.001),0,L357,TRUE))*(G228:G356+G358:G486))+G357*_xlfn.NORM.DIST(0,0,L357,TRUE)*2</f>
        <v>6.1815175842636112</v>
      </c>
      <c r="L357" s="3">
        <f t="shared" si="17"/>
        <v>3.0000000000000001E-3</v>
      </c>
    </row>
    <row r="358" spans="1:12" x14ac:dyDescent="0.4">
      <c r="A358" s="3">
        <v>-0.17700000000000005</v>
      </c>
      <c r="B358" s="3">
        <v>2.0006351600731912E-4</v>
      </c>
      <c r="C358" s="4">
        <f t="shared" si="16"/>
        <v>1.4636119074041778E-5</v>
      </c>
      <c r="D358" s="5">
        <f t="shared" si="15"/>
        <v>1.4636119074041778E-5</v>
      </c>
      <c r="F358" s="3">
        <v>0.35599999999999998</v>
      </c>
      <c r="G358" s="3">
        <v>3.9994468154517908</v>
      </c>
      <c r="H358" s="3" cm="1">
        <f t="array" ref="H358">SUM((_xlfn.NORM.DIST((F229:F357-F358),0,L358,TRUE)-_xlfn.NORM.DIST((F229:F357-F358-0.001),0,L358,TRUE))*(G229:G357+G359:G487))+G358*_xlfn.NORM.DIST(0,0,L358,TRUE)*2</f>
        <v>6.1472755610198249</v>
      </c>
      <c r="L358" s="3">
        <f t="shared" si="17"/>
        <v>3.0000000000000001E-3</v>
      </c>
    </row>
    <row r="359" spans="1:12" x14ac:dyDescent="0.4">
      <c r="A359" s="3">
        <v>-0.17600000000000005</v>
      </c>
      <c r="B359" s="3">
        <v>2.1577339929471637E-4</v>
      </c>
      <c r="C359" s="4">
        <f t="shared" si="16"/>
        <v>1.5709883287397253E-5</v>
      </c>
      <c r="D359" s="5">
        <f t="shared" si="15"/>
        <v>1.5709883287397253E-5</v>
      </c>
      <c r="F359" s="3">
        <v>0.35699999999999998</v>
      </c>
      <c r="G359" s="3">
        <v>3.9867920424880241</v>
      </c>
      <c r="H359" s="3" cm="1">
        <f t="array" ref="H359">SUM((_xlfn.NORM.DIST((F230:F358-F359),0,L359,TRUE)-_xlfn.NORM.DIST((F230:F358-F359-0.001),0,L359,TRUE))*(G230:G358+G360:G488))+G359*_xlfn.NORM.DIST(0,0,L359,TRUE)*2</f>
        <v>6.114285556757217</v>
      </c>
      <c r="L359" s="3">
        <f t="shared" si="17"/>
        <v>3.0000000000000001E-3</v>
      </c>
    </row>
    <row r="360" spans="1:12" x14ac:dyDescent="0.4">
      <c r="A360" s="3">
        <v>-0.17500000000000004</v>
      </c>
      <c r="B360" s="3">
        <v>2.3262907903552396E-4</v>
      </c>
      <c r="C360" s="4">
        <f t="shared" si="16"/>
        <v>1.6855679740807587E-5</v>
      </c>
      <c r="D360" s="5">
        <f t="shared" si="15"/>
        <v>1.6855679740807587E-5</v>
      </c>
      <c r="F360" s="3">
        <v>0.35799999999999998</v>
      </c>
      <c r="G360" s="3">
        <v>3.9742965440665539</v>
      </c>
      <c r="H360" s="3" cm="1">
        <f t="array" ref="H360">SUM((_xlfn.NORM.DIST((F231:F359-F360),0,L360,TRUE)-_xlfn.NORM.DIST((F231:F359-F360-0.001),0,L360,TRUE))*(G231:G359+G361:G489))+G360*_xlfn.NORM.DIST(0,0,L360,TRUE)*2</f>
        <v>6.0824636935717713</v>
      </c>
      <c r="L360" s="3">
        <f t="shared" si="17"/>
        <v>3.0000000000000001E-3</v>
      </c>
    </row>
    <row r="361" spans="1:12" x14ac:dyDescent="0.4">
      <c r="A361" s="3">
        <v>-0.17400000000000004</v>
      </c>
      <c r="B361" s="3">
        <v>2.5070689128053669E-4</v>
      </c>
      <c r="C361" s="4">
        <f t="shared" si="16"/>
        <v>1.8077812245012728E-5</v>
      </c>
      <c r="D361" s="5">
        <f t="shared" si="15"/>
        <v>1.8077812245012728E-5</v>
      </c>
      <c r="F361" s="3">
        <v>0.35899999999999999</v>
      </c>
      <c r="G361" s="3">
        <v>3.9619573320197174</v>
      </c>
      <c r="H361" s="3" cm="1">
        <f t="array" ref="H361">SUM((_xlfn.NORM.DIST((F232:F360-F361),0,L361,TRUE)-_xlfn.NORM.DIST((F232:F360-F361-0.001),0,L361,TRUE))*(G232:G360+G362:G490))+G361*_xlfn.NORM.DIST(0,0,L361,TRUE)*2</f>
        <v>6.051725107860662</v>
      </c>
      <c r="L361" s="3">
        <f t="shared" si="17"/>
        <v>3.0000000000000001E-3</v>
      </c>
    </row>
    <row r="362" spans="1:12" x14ac:dyDescent="0.4">
      <c r="A362" s="3">
        <v>-0.17300000000000004</v>
      </c>
      <c r="B362" s="3">
        <v>2.7008769396347362E-4</v>
      </c>
      <c r="C362" s="4">
        <f t="shared" si="16"/>
        <v>1.938080268293693E-5</v>
      </c>
      <c r="D362" s="5">
        <f t="shared" si="15"/>
        <v>1.938080268293693E-5</v>
      </c>
      <c r="F362" s="3">
        <v>0.36</v>
      </c>
      <c r="G362" s="3">
        <v>3.9497714924599689</v>
      </c>
      <c r="H362" s="3" cm="1">
        <f t="array" ref="H362">SUM((_xlfn.NORM.DIST((F233:F361-F362),0,L362,TRUE)-_xlfn.NORM.DIST((F233:F361-F362-0.001),0,L362,TRUE))*(G233:G361+G363:G491))+G362*_xlfn.NORM.DIST(0,0,L362,TRUE)*2</f>
        <v>6.021991366865322</v>
      </c>
      <c r="L362" s="3">
        <f t="shared" si="17"/>
        <v>3.0000000000000001E-3</v>
      </c>
    </row>
    <row r="363" spans="1:12" x14ac:dyDescent="0.4">
      <c r="A363" s="3">
        <v>-0.17200000000000004</v>
      </c>
      <c r="B363" s="3">
        <v>2.908570932907421E-4</v>
      </c>
      <c r="C363" s="4">
        <f t="shared" si="16"/>
        <v>2.0769399327268481E-5</v>
      </c>
      <c r="D363" s="5">
        <f t="shared" si="15"/>
        <v>2.0769399327268481E-5</v>
      </c>
      <c r="F363" s="3">
        <v>0.36099999999999999</v>
      </c>
      <c r="G363" s="3">
        <v>3.9377361834941049</v>
      </c>
      <c r="H363" s="3" cm="1">
        <f t="array" ref="H363">SUM((_xlfn.NORM.DIST((F234:F362-F363),0,L363,TRUE)-_xlfn.NORM.DIST((F234:F362-F363-0.001),0,L363,TRUE))*(G234:G362+G364:G492))+G363*_xlfn.NORM.DIST(0,0,L363,TRUE)*2</f>
        <v>5.9931917524786522</v>
      </c>
      <c r="L363" s="3">
        <f t="shared" si="17"/>
        <v>3.0000000000000001E-3</v>
      </c>
    </row>
    <row r="364" spans="1:12" x14ac:dyDescent="0.4">
      <c r="A364" s="3">
        <v>-0.17100000000000004</v>
      </c>
      <c r="B364" s="3">
        <v>3.1310567858119909E-4</v>
      </c>
      <c r="C364" s="4">
        <f t="shared" si="16"/>
        <v>2.2248585290456991E-5</v>
      </c>
      <c r="D364" s="5">
        <f t="shared" si="15"/>
        <v>2.2248585290456991E-5</v>
      </c>
      <c r="F364" s="3">
        <v>0.36199999999999999</v>
      </c>
      <c r="G364" s="3">
        <v>3.9258486330061713</v>
      </c>
      <c r="H364" s="3" cm="1">
        <f t="array" ref="H364">SUM((_xlfn.NORM.DIST((F235:F363-F364),0,L364,TRUE)-_xlfn.NORM.DIST((F235:F363-F364-0.001),0,L364,TRUE))*(G235:G363+G365:G493))+G364*_xlfn.NORM.DIST(0,0,L364,TRUE)*2</f>
        <v>5.965262798713991</v>
      </c>
      <c r="L364" s="3">
        <f t="shared" si="17"/>
        <v>3.0000000000000001E-3</v>
      </c>
    </row>
    <row r="365" spans="1:12" x14ac:dyDescent="0.4">
      <c r="A365" s="3">
        <v>-0.17000000000000004</v>
      </c>
      <c r="B365" s="3">
        <v>3.3692926567687983E-4</v>
      </c>
      <c r="C365" s="4">
        <f t="shared" si="16"/>
        <v>2.3823587095680738E-5</v>
      </c>
      <c r="D365" s="5">
        <f t="shared" si="15"/>
        <v>2.3823587095680738E-5</v>
      </c>
      <c r="F365" s="3">
        <v>0.36299999999999999</v>
      </c>
      <c r="G365" s="3">
        <v>3.9141061365337189</v>
      </c>
      <c r="H365" s="3" cm="1">
        <f t="array" ref="H365">SUM((_xlfn.NORM.DIST((F236:F364-F365),0,L365,TRUE)-_xlfn.NORM.DIST((F236:F364-F365-0.001),0,L365,TRUE))*(G236:G364+G366:G494))+G365*_xlfn.NORM.DIST(0,0,L365,TRUE)*2</f>
        <v>5.9381474724896206</v>
      </c>
      <c r="L365" s="3">
        <f t="shared" si="17"/>
        <v>3.0000000000000001E-3</v>
      </c>
    </row>
    <row r="366" spans="1:12" x14ac:dyDescent="0.4">
      <c r="A366" s="3">
        <v>-0.16900000000000004</v>
      </c>
      <c r="B366" s="3">
        <v>3.6242914903304274E-4</v>
      </c>
      <c r="C366" s="4">
        <f t="shared" si="16"/>
        <v>2.549988335616291E-5</v>
      </c>
      <c r="D366" s="5">
        <f t="shared" si="15"/>
        <v>2.549988335616291E-5</v>
      </c>
      <c r="F366" s="3">
        <v>0.36399999999999999</v>
      </c>
      <c r="G366" s="3">
        <v>3.9025060552142317</v>
      </c>
      <c r="H366" s="3" cm="1">
        <f t="array" ref="H366">SUM((_xlfn.NORM.DIST((F237:F365-F366),0,L366,TRUE)-_xlfn.NORM.DIST((F237:F365-F366-0.001),0,L366,TRUE))*(G237:G365+G367:G495))+G366*_xlfn.NORM.DIST(0,0,L366,TRUE)*2</f>
        <v>5.9117943743448489</v>
      </c>
      <c r="L366" s="3">
        <f t="shared" si="17"/>
        <v>3.0000000000000001E-3</v>
      </c>
    </row>
    <row r="367" spans="1:12" x14ac:dyDescent="0.4">
      <c r="A367" s="3">
        <v>-0.16800000000000004</v>
      </c>
      <c r="B367" s="3">
        <v>3.8971236258202984E-4</v>
      </c>
      <c r="C367" s="4">
        <f t="shared" si="16"/>
        <v>2.7283213548987104E-5</v>
      </c>
      <c r="D367" s="5">
        <f t="shared" si="15"/>
        <v>2.7283213548987104E-5</v>
      </c>
      <c r="F367" s="3">
        <v>0.36499999999999999</v>
      </c>
      <c r="G367" s="3">
        <v>3.8910458138095998</v>
      </c>
      <c r="H367" s="3" cm="1">
        <f t="array" ref="H367">SUM((_xlfn.NORM.DIST((F238:F366-F367),0,L367,TRUE)-_xlfn.NORM.DIST((F238:F366-F367-0.001),0,L367,TRUE))*(G238:G366+G368:G496))+G367*_xlfn.NORM.DIST(0,0,L367,TRUE)*2</f>
        <v>5.8861607250575965</v>
      </c>
      <c r="L367" s="3">
        <f t="shared" si="17"/>
        <v>3.0000000000000001E-3</v>
      </c>
    </row>
    <row r="368" spans="1:12" x14ac:dyDescent="0.4">
      <c r="A368" s="3">
        <v>-0.16700000000000004</v>
      </c>
      <c r="B368" s="3">
        <v>4.1889194945036773E-4</v>
      </c>
      <c r="C368" s="4">
        <f t="shared" si="16"/>
        <v>2.9179586868337889E-5</v>
      </c>
      <c r="D368" s="5">
        <f t="shared" si="15"/>
        <v>2.9179586868337889E-5</v>
      </c>
      <c r="F368" s="3">
        <v>0.36599999999999999</v>
      </c>
      <c r="G368" s="3">
        <v>3.8797228987957548</v>
      </c>
      <c r="H368" s="3" cm="1">
        <f t="array" ref="H368">SUM((_xlfn.NORM.DIST((F239:F367-F368),0,L368,TRUE)-_xlfn.NORM.DIST((F239:F367-F368-0.001),0,L368,TRUE))*(G239:G367+G369:G497))+G368*_xlfn.NORM.DIST(0,0,L368,TRUE)*2</f>
        <v>5.8613842417622433</v>
      </c>
      <c r="L368" s="3">
        <f t="shared" si="17"/>
        <v>3.0000000000000001E-3</v>
      </c>
    </row>
    <row r="369" spans="1:12" x14ac:dyDescent="0.4">
      <c r="A369" s="3">
        <v>-0.16600000000000004</v>
      </c>
      <c r="B369" s="3">
        <v>4.5008724059211535E-4</v>
      </c>
      <c r="C369" s="4">
        <f t="shared" si="16"/>
        <v>3.1195291141747621E-5</v>
      </c>
      <c r="D369" s="5">
        <f t="shared" si="15"/>
        <v>3.1195291141747621E-5</v>
      </c>
      <c r="F369" s="3">
        <v>0.36699999999999999</v>
      </c>
      <c r="G369" s="3">
        <v>3.8685348565322455</v>
      </c>
      <c r="H369" s="3" cm="1">
        <f t="array" ref="H369">SUM((_xlfn.NORM.DIST((F240:F368-F369),0,L369,TRUE)-_xlfn.NORM.DIST((F240:F368-F369-0.001),0,L369,TRUE))*(G240:G368+G370:G498))+G369*_xlfn.NORM.DIST(0,0,L369,TRUE)*2</f>
        <v>5.837385739141701</v>
      </c>
      <c r="L369" s="3">
        <f t="shared" si="17"/>
        <v>3.0000000000000001E-3</v>
      </c>
    </row>
    <row r="370" spans="1:12" x14ac:dyDescent="0.4">
      <c r="A370" s="3">
        <v>-0.16500000000000004</v>
      </c>
      <c r="B370" s="3">
        <v>4.8342414238377571E-4</v>
      </c>
      <c r="C370" s="4">
        <f t="shared" si="16"/>
        <v>3.3336901791660356E-5</v>
      </c>
      <c r="D370" s="5">
        <f t="shared" si="15"/>
        <v>3.3336901791660356E-5</v>
      </c>
      <c r="F370" s="3">
        <v>0.36799999999999999</v>
      </c>
      <c r="G370" s="3">
        <v>3.8574792914826559</v>
      </c>
      <c r="H370" s="3" cm="1">
        <f t="array" ref="H370">SUM((_xlfn.NORM.DIST((F241:F369-F370),0,L370,TRUE)-_xlfn.NORM.DIST((F241:F369-F370-0.001),0,L370,TRUE))*(G241:G369+G371:G499))+G370*_xlfn.NORM.DIST(0,0,L370,TRUE)*2</f>
        <v>5.8140852782473891</v>
      </c>
      <c r="L370" s="3">
        <f t="shared" si="17"/>
        <v>3.0000000000000001E-3</v>
      </c>
    </row>
    <row r="371" spans="1:12" x14ac:dyDescent="0.4">
      <c r="A371" s="3">
        <v>-0.16400000000000003</v>
      </c>
      <c r="B371" s="3">
        <v>5.1903543320697154E-4</v>
      </c>
      <c r="C371" s="4">
        <f t="shared" si="16"/>
        <v>3.5611290823195829E-5</v>
      </c>
      <c r="D371" s="5">
        <f t="shared" si="15"/>
        <v>3.5611290823195829E-5</v>
      </c>
      <c r="F371" s="3">
        <v>0.36899999999999999</v>
      </c>
      <c r="G371" s="3">
        <v>3.846553864509425</v>
      </c>
      <c r="H371" s="3" cm="1">
        <f t="array" ref="H371">SUM((_xlfn.NORM.DIST((F242:F370-F371),0,L371,TRUE)-_xlfn.NORM.DIST((F242:F370-F371-0.001),0,L371,TRUE))*(G242:G370+G372:G500))+G371*_xlfn.NORM.DIST(0,0,L371,TRUE)*2</f>
        <v>5.7914107593082749</v>
      </c>
      <c r="L371" s="3">
        <f t="shared" si="17"/>
        <v>3.0000000000000001E-3</v>
      </c>
    </row>
    <row r="372" spans="1:12" x14ac:dyDescent="0.4">
      <c r="A372" s="3">
        <v>-0.16300000000000003</v>
      </c>
      <c r="B372" s="3">
        <v>5.5706106902461976E-4</v>
      </c>
      <c r="C372" s="4">
        <f t="shared" si="16"/>
        <v>3.8025635817648222E-5</v>
      </c>
      <c r="D372" s="5">
        <f t="shared" si="15"/>
        <v>3.8025635817648222E-5</v>
      </c>
      <c r="F372" s="3">
        <v>0.37</v>
      </c>
      <c r="G372" s="3">
        <v>3.8357562912224137</v>
      </c>
      <c r="H372" s="3" cm="1">
        <f t="array" ref="H372">SUM((_xlfn.NORM.DIST((F243:F371-F372),0,L372,TRUE)-_xlfn.NORM.DIST((F243:F371-F372-0.001),0,L372,TRUE))*(G243:G371+G373:G501))+G372*_xlfn.NORM.DIST(0,0,L372,TRUE)*2</f>
        <v>5.7693025884142752</v>
      </c>
      <c r="L372" s="3">
        <f t="shared" si="17"/>
        <v>3.0000000000000001E-3</v>
      </c>
    </row>
    <row r="373" spans="1:12" x14ac:dyDescent="0.4">
      <c r="A373" s="3">
        <v>-0.16200000000000003</v>
      </c>
      <c r="B373" s="3">
        <v>5.9764849793441396E-4</v>
      </c>
      <c r="C373" s="4">
        <f t="shared" si="16"/>
        <v>4.0587428909794206E-5</v>
      </c>
      <c r="D373" s="5">
        <f t="shared" si="15"/>
        <v>4.0587428909794206E-5</v>
      </c>
      <c r="F373" s="3">
        <v>0.371</v>
      </c>
      <c r="G373" s="3">
        <v>3.825084340382932</v>
      </c>
      <c r="H373" s="3" cm="1">
        <f t="array" ref="H373">SUM((_xlfn.NORM.DIST((F244:F372-F373),0,L373,TRUE)-_xlfn.NORM.DIST((F244:F372-F373-0.001),0,L373,TRUE))*(G244:G372+G374:G502))+G373*_xlfn.NORM.DIST(0,0,L373,TRUE)*2</f>
        <v>5.7477141263124443</v>
      </c>
      <c r="L373" s="3">
        <f t="shared" si="17"/>
        <v>3.0000000000000001E-3</v>
      </c>
    </row>
    <row r="374" spans="1:12" x14ac:dyDescent="0.4">
      <c r="A374" s="3">
        <v>-0.16100000000000003</v>
      </c>
      <c r="B374" s="3">
        <v>6.4095298366005486E-4</v>
      </c>
      <c r="C374" s="4">
        <f t="shared" si="16"/>
        <v>4.3304485725640892E-5</v>
      </c>
      <c r="D374" s="5">
        <f t="shared" si="15"/>
        <v>4.3304485725640892E-5</v>
      </c>
      <c r="F374" s="3">
        <v>0.372</v>
      </c>
      <c r="G374" s="3">
        <v>3.8145358323731884</v>
      </c>
      <c r="H374" s="3" cm="1">
        <f t="array" ref="H374">SUM((_xlfn.NORM.DIST((F245:F373-F374),0,L374,TRUE)-_xlfn.NORM.DIST((F245:F373-F374-0.001),0,L374,TRUE))*(G245:G373+G375:G503))+G374*_xlfn.NORM.DIST(0,0,L374,TRUE)*2</f>
        <v>5.7266094201802442</v>
      </c>
      <c r="L374" s="3">
        <f t="shared" si="17"/>
        <v>3.0000000000000001E-3</v>
      </c>
    </row>
    <row r="375" spans="1:12" x14ac:dyDescent="0.4">
      <c r="A375" s="3">
        <v>-0.16000000000000003</v>
      </c>
      <c r="B375" s="3">
        <v>6.8713793791584719E-4</v>
      </c>
      <c r="C375" s="4">
        <f t="shared" si="16"/>
        <v>4.6184954255792336E-5</v>
      </c>
      <c r="D375" s="5">
        <f t="shared" si="15"/>
        <v>4.6184954255792336E-5</v>
      </c>
      <c r="F375" s="3">
        <v>0.373</v>
      </c>
      <c r="G375" s="3">
        <v>3.8041086377077944</v>
      </c>
      <c r="H375" s="3" cm="1">
        <f t="array" ref="H375">SUM((_xlfn.NORM.DIST((F246:F374-F375),0,L375,TRUE)-_xlfn.NORM.DIST((F246:F374-F375-0.001),0,L375,TRUE))*(G246:G374+G376:G504))+G375*_xlfn.NORM.DIST(0,0,L375,TRUE)*2</f>
        <v>5.7059600998730335</v>
      </c>
      <c r="L375" s="3">
        <f t="shared" si="17"/>
        <v>3.0000000000000001E-3</v>
      </c>
    </row>
    <row r="376" spans="1:12" x14ac:dyDescent="0.4">
      <c r="A376" s="3">
        <v>-0.15900000000000003</v>
      </c>
      <c r="B376" s="3">
        <v>7.3637526155392961E-4</v>
      </c>
      <c r="C376" s="4">
        <f t="shared" si="16"/>
        <v>4.9237323638082415E-5</v>
      </c>
      <c r="D376" s="5">
        <f t="shared" si="15"/>
        <v>4.9237323638082415E-5</v>
      </c>
      <c r="F376" s="3">
        <v>0.374</v>
      </c>
      <c r="G376" s="3">
        <v>3.7938006756022427</v>
      </c>
      <c r="H376" s="3" cm="1">
        <f t="array" ref="H376">SUM((_xlfn.NORM.DIST((F247:F375-F376),0,L376,TRUE)-_xlfn.NORM.DIST((F247:F375-F376-0.001),0,L376,TRUE))*(G247:G375+G377:G505))+G376*_xlfn.NORM.DIST(0,0,L376,TRUE)*2</f>
        <v>5.6857427027424645</v>
      </c>
      <c r="L376" s="3">
        <f t="shared" si="17"/>
        <v>3.0000000000000001E-3</v>
      </c>
    </row>
    <row r="377" spans="1:12" x14ac:dyDescent="0.4">
      <c r="A377" s="3">
        <v>-0.15800000000000003</v>
      </c>
      <c r="B377" s="3">
        <v>7.8884569437557043E-4</v>
      </c>
      <c r="C377" s="4">
        <f t="shared" si="16"/>
        <v>5.2470432821640823E-5</v>
      </c>
      <c r="D377" s="5">
        <f t="shared" si="15"/>
        <v>5.2470432821640823E-5</v>
      </c>
      <c r="F377" s="3">
        <v>0.375</v>
      </c>
      <c r="G377" s="3">
        <v>3.7836099125875156</v>
      </c>
      <c r="H377" s="3" cm="1">
        <f t="array" ref="H377">SUM((_xlfn.NORM.DIST((F248:F376-F377),0,L377,TRUE)-_xlfn.NORM.DIST((F248:F376-F377-0.001),0,L377,TRUE))*(G248:G376+G378:G506))+G377*_xlfn.NORM.DIST(0,0,L377,TRUE)*2</f>
        <v>5.6659368648602371</v>
      </c>
      <c r="L377" s="3">
        <f t="shared" si="17"/>
        <v>3.0000000000000001E-3</v>
      </c>
    </row>
    <row r="378" spans="1:12" x14ac:dyDescent="0.4">
      <c r="A378" s="3">
        <v>-0.15700000000000003</v>
      </c>
      <c r="B378" s="3">
        <v>8.4473917345862458E-4</v>
      </c>
      <c r="C378" s="4">
        <f t="shared" si="16"/>
        <v>5.5893479083054154E-5</v>
      </c>
      <c r="D378" s="5">
        <f t="shared" si="15"/>
        <v>5.5893479083054154E-5</v>
      </c>
      <c r="F378" s="3">
        <v>0.376</v>
      </c>
      <c r="G378" s="3">
        <v>3.7735343611717993</v>
      </c>
      <c r="H378" s="3" cm="1">
        <f t="array" ref="H378">SUM((_xlfn.NORM.DIST((F249:F377-F378),0,L378,TRUE)-_xlfn.NORM.DIST((F249:F377-F378-0.001),0,L378,TRUE))*(G249:G377+G379:G507))+G378*_xlfn.NORM.DIST(0,0,L378,TRUE)*2</f>
        <v>5.6465242809953553</v>
      </c>
      <c r="L378" s="3">
        <f t="shared" si="17"/>
        <v>3.0000000000000001E-3</v>
      </c>
    </row>
    <row r="379" spans="1:12" x14ac:dyDescent="0.4">
      <c r="A379" s="3">
        <v>-0.15600000000000003</v>
      </c>
      <c r="B379" s="3">
        <v>9.0425519982233692E-4</v>
      </c>
      <c r="C379" s="4">
        <f t="shared" si="16"/>
        <v>5.9516026363712338E-5</v>
      </c>
      <c r="D379" s="5">
        <f t="shared" si="15"/>
        <v>5.9516026363712338E-5</v>
      </c>
      <c r="F379" s="3">
        <v>0.377</v>
      </c>
      <c r="G379" s="3">
        <v>3.763572078552373</v>
      </c>
      <c r="H379" s="3" cm="1">
        <f t="array" ref="H379">SUM((_xlfn.NORM.DIST((F250:F378-F379),0,L379,TRUE)-_xlfn.NORM.DIST((F250:F378-F379-0.001),0,L379,TRUE))*(G250:G378+G380:G508))+G379*_xlfn.NORM.DIST(0,0,L379,TRUE)*2</f>
        <v>5.6274881615068733</v>
      </c>
      <c r="L379" s="3">
        <f t="shared" si="17"/>
        <v>3.0000000000000001E-3</v>
      </c>
    </row>
    <row r="380" spans="1:12" x14ac:dyDescent="0.4">
      <c r="A380" s="3">
        <v>-0.15500000000000003</v>
      </c>
      <c r="B380" s="3">
        <v>9.6760321321835436E-4</v>
      </c>
      <c r="C380" s="4">
        <f t="shared" si="16"/>
        <v>6.334801339601744E-5</v>
      </c>
      <c r="D380" s="5">
        <f t="shared" si="15"/>
        <v>6.334801339601744E-5</v>
      </c>
      <c r="F380" s="3">
        <v>0.378</v>
      </c>
      <c r="G380" s="3">
        <v>3.753721165363197</v>
      </c>
      <c r="H380" s="3" cm="1">
        <f t="array" ref="H380">SUM((_xlfn.NORM.DIST((F251:F379-F380),0,L380,TRUE)-_xlfn.NORM.DIST((F251:F379-F380-0.001),0,L380,TRUE))*(G251:G379+G381:G509))+G380*_xlfn.NORM.DIST(0,0,L380,TRUE)*2</f>
        <v>5.6088129507762252</v>
      </c>
      <c r="L380" s="3">
        <f t="shared" si="17"/>
        <v>3.0000000000000001E-3</v>
      </c>
    </row>
    <row r="381" spans="1:12" x14ac:dyDescent="0.4">
      <c r="A381" s="3">
        <v>-0.15400000000000003</v>
      </c>
      <c r="B381" s="3">
        <v>1.0350029748028386E-3</v>
      </c>
      <c r="C381" s="4">
        <f t="shared" si="16"/>
        <v>6.7399761584484275E-5</v>
      </c>
      <c r="D381" s="5">
        <f t="shared" si="15"/>
        <v>6.7399761584484275E-5</v>
      </c>
      <c r="F381" s="3">
        <v>0.379</v>
      </c>
      <c r="G381" s="3">
        <v>3.7439797644685258</v>
      </c>
      <c r="H381" s="3" cm="1">
        <f t="array" ref="H381">SUM((_xlfn.NORM.DIST((F252:F380-F381),0,L381,TRUE)-_xlfn.NORM.DIST((F252:F380-F381-0.001),0,L381,TRUE))*(G252:G380+G382:G510))+G381*_xlfn.NORM.DIST(0,0,L381,TRUE)*2</f>
        <v>5.5904841648448436</v>
      </c>
      <c r="L381" s="3">
        <f t="shared" si="17"/>
        <v>3.0000000000000001E-3</v>
      </c>
    </row>
    <row r="382" spans="1:12" x14ac:dyDescent="0.4">
      <c r="A382" s="3">
        <v>-0.15300000000000002</v>
      </c>
      <c r="B382" s="3">
        <v>1.1066849574092447E-3</v>
      </c>
      <c r="C382" s="4">
        <f t="shared" si="16"/>
        <v>7.1681982606406052E-5</v>
      </c>
      <c r="D382" s="5">
        <f t="shared" si="15"/>
        <v>7.1681982606406052E-5</v>
      </c>
      <c r="F382" s="3">
        <v>0.38</v>
      </c>
      <c r="G382" s="3">
        <v>3.7343460597963287</v>
      </c>
      <c r="H382" s="3" cm="1">
        <f t="array" ref="H382">SUM((_xlfn.NORM.DIST((F253:F381-F382),0,L382,TRUE)-_xlfn.NORM.DIST((F253:F381-F382-0.001),0,L382,TRUE))*(G253:G381+G383:G511))+G382*_xlfn.NORM.DIST(0,0,L382,TRUE)*2</f>
        <v>5.5724882796657056</v>
      </c>
      <c r="L382" s="3">
        <f t="shared" si="17"/>
        <v>3.0000000000000001E-3</v>
      </c>
    </row>
    <row r="383" spans="1:12" x14ac:dyDescent="0.4">
      <c r="A383" s="3">
        <v>-0.15200000000000002</v>
      </c>
      <c r="B383" s="3">
        <v>1.1828907431044044E-3</v>
      </c>
      <c r="C383" s="4">
        <f t="shared" si="16"/>
        <v>7.6205785695159737E-5</v>
      </c>
      <c r="D383" s="5">
        <f t="shared" si="15"/>
        <v>7.6205785695159737E-5</v>
      </c>
      <c r="F383" s="3">
        <v>0.38100000000000001</v>
      </c>
      <c r="G383" s="3">
        <v>3.7248182752081087</v>
      </c>
      <c r="H383" s="3" cm="1">
        <f t="array" ref="H383">SUM((_xlfn.NORM.DIST((F254:F382-F383),0,L383,TRUE)-_xlfn.NORM.DIST((F254:F382-F383-0.001),0,L383,TRUE))*(G254:G382+G384:G512))+G383*_xlfn.NORM.DIST(0,0,L383,TRUE)*2</f>
        <v>5.5548126420379296</v>
      </c>
      <c r="L383" s="3">
        <f t="shared" si="17"/>
        <v>3.0000000000000001E-3</v>
      </c>
    </row>
    <row r="384" spans="1:12" x14ac:dyDescent="0.4">
      <c r="A384" s="3">
        <v>-0.15100000000000002</v>
      </c>
      <c r="B384" s="3">
        <v>1.2638734276722969E-3</v>
      </c>
      <c r="C384" s="4">
        <f t="shared" si="16"/>
        <v>8.0982684567892449E-5</v>
      </c>
      <c r="D384" s="5">
        <f t="shared" si="15"/>
        <v>8.0982684567892449E-5</v>
      </c>
      <c r="F384" s="3">
        <v>0.38200000000000001</v>
      </c>
      <c r="G384" s="3">
        <v>3.715394673408555</v>
      </c>
      <c r="H384" s="3" cm="1">
        <f t="array" ref="H384">SUM((_xlfn.NORM.DIST((F255:F383-F384),0,L384,TRUE)-_xlfn.NORM.DIST((F255:F383-F384-0.001),0,L384,TRUE))*(G255:G383+G385:G513))+G384*_xlfn.NORM.DIST(0,0,L384,TRUE)*2</f>
        <v>5.5374453930486807</v>
      </c>
      <c r="L384" s="3">
        <f t="shared" si="17"/>
        <v>3.0000000000000001E-3</v>
      </c>
    </row>
    <row r="385" spans="1:12" x14ac:dyDescent="0.4">
      <c r="A385" s="3">
        <v>-0.15000000000000002</v>
      </c>
      <c r="B385" s="3">
        <v>1.3498980316300933E-3</v>
      </c>
      <c r="C385" s="4">
        <f t="shared" si="16"/>
        <v>8.6024603957796401E-5</v>
      </c>
      <c r="D385" s="5">
        <f t="shared" si="15"/>
        <v>8.6024603957796401E-5</v>
      </c>
      <c r="F385" s="3">
        <v>0.38300000000000001</v>
      </c>
      <c r="G385" s="3">
        <v>3.7060735548887789</v>
      </c>
      <c r="H385" s="3" cm="1">
        <f t="array" ref="H385">SUM((_xlfn.NORM.DIST((F256:F384-F385),0,L385,TRUE)-_xlfn.NORM.DIST((F256:F384-F385-0.001),0,L385,TRUE))*(G256:G384+G386:G514))+G385*_xlfn.NORM.DIST(0,0,L385,TRUE)*2</f>
        <v>5.5203754003194359</v>
      </c>
      <c r="L385" s="3">
        <f t="shared" si="17"/>
        <v>3.0000000000000001E-3</v>
      </c>
    </row>
    <row r="386" spans="1:12" x14ac:dyDescent="0.4">
      <c r="A386" s="3">
        <v>-0.14900000000000002</v>
      </c>
      <c r="B386" s="3">
        <v>1.4412419173400102E-3</v>
      </c>
      <c r="C386" s="4">
        <f t="shared" si="16"/>
        <v>9.1343885709916891E-5</v>
      </c>
      <c r="D386" s="5">
        <f t="shared" ref="D386:D449" si="18">C386</f>
        <v>9.1343885709916891E-5</v>
      </c>
      <c r="F386" s="3">
        <v>0.38400000000000001</v>
      </c>
      <c r="G386" s="3">
        <v>3.6968532569057988</v>
      </c>
      <c r="H386" s="3" cm="1">
        <f t="array" ref="H386">SUM((_xlfn.NORM.DIST((F257:F385-F386),0,L386,TRUE)-_xlfn.NORM.DIST((F257:F385-F386-0.001),0,L386,TRUE))*(G257:G385+G387:G515))+G386*_xlfn.NORM.DIST(0,0,L386,TRUE)*2</f>
        <v>5.5035921974383175</v>
      </c>
      <c r="L386" s="3">
        <f t="shared" si="17"/>
        <v>3.0000000000000001E-3</v>
      </c>
    </row>
    <row r="387" spans="1:12" x14ac:dyDescent="0.4">
      <c r="A387" s="3">
        <v>-0.14800000000000002</v>
      </c>
      <c r="B387" s="3">
        <v>1.5381952117380544E-3</v>
      </c>
      <c r="C387" s="4">
        <f t="shared" ref="C387:C450" si="19">B387-B386</f>
        <v>9.6953294398044237E-5</v>
      </c>
      <c r="D387" s="5">
        <f t="shared" si="18"/>
        <v>9.6953294398044237E-5</v>
      </c>
      <c r="F387" s="3">
        <v>0.38500000000000001</v>
      </c>
      <c r="G387" s="3">
        <v>3.6877321524923032</v>
      </c>
      <c r="H387" s="3" cm="1">
        <f t="array" ref="H387">SUM((_xlfn.NORM.DIST((F258:F386-F387),0,L387,TRUE)-_xlfn.NORM.DIST((F258:F386-F387-0.001),0,L387,TRUE))*(G258:G386+G388:G516))+G387*_xlfn.NORM.DIST(0,0,L387,TRUE)*2</f>
        <v>5.4870859295886838</v>
      </c>
      <c r="L387" s="3">
        <f t="shared" si="17"/>
        <v>3.0000000000000001E-3</v>
      </c>
    </row>
    <row r="388" spans="1:12" x14ac:dyDescent="0.4">
      <c r="A388" s="3">
        <v>-0.14700000000000002</v>
      </c>
      <c r="B388" s="3">
        <v>1.6410612341569927E-3</v>
      </c>
      <c r="C388" s="4">
        <f t="shared" si="19"/>
        <v>1.028660224189383E-4</v>
      </c>
      <c r="D388" s="5">
        <f t="shared" si="18"/>
        <v>1.028660224189383E-4</v>
      </c>
      <c r="F388" s="3">
        <v>0.38600000000000001</v>
      </c>
      <c r="G388" s="3">
        <v>3.6787086495005932</v>
      </c>
      <c r="H388" s="3" cm="1">
        <f t="array" ref="H388">SUM((_xlfn.NORM.DIST((F259:F387-F388),0,L388,TRUE)-_xlfn.NORM.DIST((F259:F387-F388-0.001),0,L388,TRUE))*(G259:G387+G389:G517))+G388*_xlfn.NORM.DIST(0,0,L388,TRUE)*2</f>
        <v>5.4708473046222927</v>
      </c>
      <c r="L388" s="3">
        <f t="shared" ref="L388:L451" si="20">L387</f>
        <v>3.0000000000000001E-3</v>
      </c>
    </row>
    <row r="389" spans="1:12" x14ac:dyDescent="0.4">
      <c r="A389" s="3">
        <v>-0.14600000000000002</v>
      </c>
      <c r="B389" s="3">
        <v>1.7501569286760953E-3</v>
      </c>
      <c r="C389" s="4">
        <f t="shared" si="19"/>
        <v>1.0909569451910263E-4</v>
      </c>
      <c r="D389" s="5">
        <f t="shared" si="18"/>
        <v>1.0909569451910263E-4</v>
      </c>
      <c r="F389" s="3">
        <v>0.38700000000000001</v>
      </c>
      <c r="G389" s="3">
        <v>3.6697811896745138</v>
      </c>
      <c r="H389" s="3" cm="1">
        <f t="array" ref="H389">SUM((_xlfn.NORM.DIST((F260:F388-F389),0,L389,TRUE)-_xlfn.NORM.DIST((F260:F388-F389-0.001),0,L389,TRUE))*(G260:G388+G390:G518))+G389*_xlfn.NORM.DIST(0,0,L389,TRUE)*2</f>
        <v>5.454867548935753</v>
      </c>
      <c r="L389" s="3">
        <f t="shared" si="20"/>
        <v>3.0000000000000001E-3</v>
      </c>
    </row>
    <row r="390" spans="1:12" x14ac:dyDescent="0.4">
      <c r="A390" s="3">
        <v>-0.14500000000000002</v>
      </c>
      <c r="B390" s="3">
        <v>1.8658133003840341E-3</v>
      </c>
      <c r="C390" s="4">
        <f t="shared" si="19"/>
        <v>1.1565637170793874E-4</v>
      </c>
      <c r="D390" s="5">
        <f t="shared" si="18"/>
        <v>1.1565637170793874E-4</v>
      </c>
      <c r="F390" s="3">
        <v>0.38800000000000001</v>
      </c>
      <c r="G390" s="3">
        <v>3.6609482477540349</v>
      </c>
      <c r="H390" s="3" cm="1">
        <f t="array" ref="H390">SUM((_xlfn.NORM.DIST((F261:F389-F390),0,L390,TRUE)-_xlfn.NORM.DIST((F261:F389-F390-0.001),0,L390,TRUE))*(G261:G389+G391:G519))+G390*_xlfn.NORM.DIST(0,0,L390,TRUE)*2</f>
        <v>5.4391383676061071</v>
      </c>
      <c r="L390" s="3">
        <f t="shared" si="20"/>
        <v>3.0000000000000001E-3</v>
      </c>
    </row>
    <row r="391" spans="1:12" x14ac:dyDescent="0.4">
      <c r="A391" s="3">
        <v>-0.14400000000000002</v>
      </c>
      <c r="B391" s="3">
        <v>1.9883758548943217E-3</v>
      </c>
      <c r="C391" s="4">
        <f t="shared" si="19"/>
        <v>1.2256255451028762E-4</v>
      </c>
      <c r="D391" s="5">
        <f t="shared" si="18"/>
        <v>1.2256255451028762E-4</v>
      </c>
      <c r="F391" s="3">
        <v>0.38900000000000001</v>
      </c>
      <c r="G391" s="3">
        <v>3.6522083306052497</v>
      </c>
      <c r="H391" s="3" cm="1">
        <f t="array" ref="H391">SUM((_xlfn.NORM.DIST((F262:F390-F391),0,L391,TRUE)-_xlfn.NORM.DIST((F262:F390-F391-0.001),0,L391,TRUE))*(G262:G390+G392:G520))+G391*_xlfn.NORM.DIST(0,0,L391,TRUE)*2</f>
        <v>5.4236519083016219</v>
      </c>
      <c r="L391" s="3">
        <f t="shared" si="20"/>
        <v>3.0000000000000001E-3</v>
      </c>
    </row>
    <row r="392" spans="1:12" x14ac:dyDescent="0.4">
      <c r="A392" s="3">
        <v>-0.14300000000000002</v>
      </c>
      <c r="B392" s="3">
        <v>2.1182050404046178E-3</v>
      </c>
      <c r="C392" s="4">
        <f t="shared" si="19"/>
        <v>1.2982918551029607E-4</v>
      </c>
      <c r="D392" s="5">
        <f t="shared" si="18"/>
        <v>1.2982918551029607E-4</v>
      </c>
      <c r="F392" s="3">
        <v>0.39</v>
      </c>
      <c r="G392" s="3">
        <v>3.6435599763807422</v>
      </c>
      <c r="H392" s="3" cm="1">
        <f t="array" ref="H392">SUM((_xlfn.NORM.DIST((F263:F391-F392),0,L392,TRUE)-_xlfn.NORM.DIST((F263:F391-F392-0.001),0,L392,TRUE))*(G263:G391+G393:G521))+G392*_xlfn.NORM.DIST(0,0,L392,TRUE)*2</f>
        <v>5.4084007285560549</v>
      </c>
      <c r="L392" s="3">
        <f t="shared" si="20"/>
        <v>3.0000000000000001E-3</v>
      </c>
    </row>
    <row r="393" spans="1:12" x14ac:dyDescent="0.4">
      <c r="A393" s="3">
        <v>-0.14200000000000002</v>
      </c>
      <c r="B393" s="3">
        <v>2.2556766915423207E-3</v>
      </c>
      <c r="C393" s="4">
        <f t="shared" si="19"/>
        <v>1.374716511377029E-4</v>
      </c>
      <c r="D393" s="5">
        <f t="shared" si="18"/>
        <v>1.374716511377029E-4</v>
      </c>
      <c r="F393" s="3">
        <v>0.39100000000000001</v>
      </c>
      <c r="G393" s="3">
        <v>3.6350017537027215</v>
      </c>
      <c r="H393" s="3" cm="1">
        <f t="array" ref="H393">SUM((_xlfn.NORM.DIST((F264:F392-F393),0,L393,TRUE)-_xlfn.NORM.DIST((F264:F392-F393-0.001),0,L393,TRUE))*(G264:G392+G394:G522))+G393*_xlfn.NORM.DIST(0,0,L393,TRUE)*2</f>
        <v>5.3933777660349582</v>
      </c>
      <c r="L393" s="3">
        <f t="shared" si="20"/>
        <v>3.0000000000000001E-3</v>
      </c>
    </row>
    <row r="394" spans="1:12" x14ac:dyDescent="0.4">
      <c r="A394" s="3">
        <v>-0.14100000000000001</v>
      </c>
      <c r="B394" s="3">
        <v>2.4011824741892464E-3</v>
      </c>
      <c r="C394" s="4">
        <f t="shared" si="19"/>
        <v>1.4550578264692577E-4</v>
      </c>
      <c r="D394" s="5">
        <f t="shared" si="18"/>
        <v>1.4550578264692577E-4</v>
      </c>
      <c r="F394" s="3">
        <v>0.39200000000000002</v>
      </c>
      <c r="G394" s="3">
        <v>3.6265322608747952</v>
      </c>
      <c r="H394" s="3" cm="1">
        <f t="array" ref="H394">SUM((_xlfn.NORM.DIST((F265:F393-F394),0,L394,TRUE)-_xlfn.NORM.DIST((F265:F393-F394-0.001),0,L394,TRUE))*(G265:G393+G395:G523))+G394*_xlfn.NORM.DIST(0,0,L394,TRUE)*2</f>
        <v>5.3785763114801313</v>
      </c>
      <c r="L394" s="3">
        <f t="shared" si="20"/>
        <v>3.0000000000000001E-3</v>
      </c>
    </row>
    <row r="395" spans="1:12" x14ac:dyDescent="0.4">
      <c r="A395" s="3">
        <v>-0.14000000000000001</v>
      </c>
      <c r="B395" s="3">
        <v>2.5551303304279286E-3</v>
      </c>
      <c r="C395" s="4">
        <f t="shared" si="19"/>
        <v>1.5394785623868215E-4</v>
      </c>
      <c r="D395" s="5">
        <f t="shared" si="18"/>
        <v>1.5394785623868215E-4</v>
      </c>
      <c r="F395" s="3">
        <v>0.39300000000000002</v>
      </c>
      <c r="G395" s="3">
        <v>3.6181501251129156</v>
      </c>
      <c r="H395" s="3" cm="1">
        <f t="array" ref="H395">SUM((_xlfn.NORM.DIST((F266:F394-F395),0,L395,TRUE)-_xlfn.NORM.DIST((F266:F394-F395-0.001),0,L395,TRUE))*(G266:G394+G396:G524))+G395*_xlfn.NORM.DIST(0,0,L395,TRUE)*2</f>
        <v>5.3639899840425853</v>
      </c>
      <c r="L395" s="3">
        <f t="shared" si="20"/>
        <v>3.0000000000000001E-3</v>
      </c>
    </row>
    <row r="396" spans="1:12" x14ac:dyDescent="0.4">
      <c r="A396" s="3">
        <v>-0.13900000000000001</v>
      </c>
      <c r="B396" s="3">
        <v>2.7179449227012539E-3</v>
      </c>
      <c r="C396" s="4">
        <f t="shared" si="19"/>
        <v>1.6281459227332528E-4</v>
      </c>
      <c r="D396" s="5">
        <f t="shared" si="18"/>
        <v>1.6281459227332528E-4</v>
      </c>
      <c r="F396" s="3">
        <v>0.39400000000000002</v>
      </c>
      <c r="G396" s="3">
        <v>3.6098540018095502</v>
      </c>
      <c r="H396" s="3" cm="1">
        <f t="array" ref="H396">SUM((_xlfn.NORM.DIST((F267:F395-F396),0,L396,TRUE)-_xlfn.NORM.DIST((F267:F395-F396-0.001),0,L396,TRUE))*(G267:G395+G397:G525))+G396*_xlfn.NORM.DIST(0,0,L396,TRUE)*2</f>
        <v>5.34961270877041</v>
      </c>
      <c r="L396" s="3">
        <f t="shared" si="20"/>
        <v>3.0000000000000001E-3</v>
      </c>
    </row>
    <row r="397" spans="1:12" x14ac:dyDescent="0.4">
      <c r="A397" s="3">
        <v>-0.13800000000000001</v>
      </c>
      <c r="B397" s="3">
        <v>2.8900680762261443E-3</v>
      </c>
      <c r="C397" s="4">
        <f t="shared" si="19"/>
        <v>1.7212315352489044E-4</v>
      </c>
      <c r="D397" s="5">
        <f t="shared" si="18"/>
        <v>1.7212315352489044E-4</v>
      </c>
      <c r="F397" s="3">
        <v>0.39500000000000002</v>
      </c>
      <c r="G397" s="3">
        <v>3.6016425738092379</v>
      </c>
      <c r="H397" s="3" cm="1">
        <f t="array" ref="H397">SUM((_xlfn.NORM.DIST((F268:F396-F397),0,L397,TRUE)-_xlfn.NORM.DIST((F268:F396-F397-0.001),0,L397,TRUE))*(G268:G396+G398:G526))+G397*_xlfn.NORM.DIST(0,0,L397,TRUE)*2</f>
        <v>5.3354386960129077</v>
      </c>
      <c r="L397" s="3">
        <f t="shared" si="20"/>
        <v>3.0000000000000001E-3</v>
      </c>
    </row>
    <row r="398" spans="1:12" x14ac:dyDescent="0.4">
      <c r="A398" s="3">
        <v>-0.13700000000000001</v>
      </c>
      <c r="B398" s="3">
        <v>3.071959218650487E-3</v>
      </c>
      <c r="C398" s="4">
        <f t="shared" si="19"/>
        <v>1.8189114242434272E-4</v>
      </c>
      <c r="D398" s="5">
        <f t="shared" si="18"/>
        <v>1.8189114242434272E-4</v>
      </c>
      <c r="F398" s="3">
        <v>0.39600000000000002</v>
      </c>
      <c r="G398" s="3">
        <v>3.5935145507149797</v>
      </c>
      <c r="H398" s="3" cm="1">
        <f t="array" ref="H398">SUM((_xlfn.NORM.DIST((F269:F397-F398),0,L398,TRUE)-_xlfn.NORM.DIST((F269:F397-F398-0.001),0,L398,TRUE))*(G269:G397+G399:G527))+G398*_xlfn.NORM.DIST(0,0,L398,TRUE)*2</f>
        <v>5.3214624225663743</v>
      </c>
      <c r="L398" s="3">
        <f t="shared" si="20"/>
        <v>3.0000000000000001E-3</v>
      </c>
    </row>
    <row r="399" spans="1:12" x14ac:dyDescent="0.4">
      <c r="A399" s="3">
        <v>-0.13600000000000001</v>
      </c>
      <c r="B399" s="3">
        <v>3.2640958158913066E-3</v>
      </c>
      <c r="C399" s="4">
        <f t="shared" si="19"/>
        <v>1.921365972408196E-4</v>
      </c>
      <c r="D399" s="5">
        <f t="shared" si="18"/>
        <v>1.921365972408196E-4</v>
      </c>
      <c r="F399" s="3">
        <v>0.39700000000000002</v>
      </c>
      <c r="G399" s="3">
        <v>3.5854686682104533</v>
      </c>
      <c r="H399" s="3" cm="1">
        <f t="array" ref="H399">SUM((_xlfn.NORM.DIST((F270:F398-F399),0,L399,TRUE)-_xlfn.NORM.DIST((F270:F398-F399-0.001),0,L399,TRUE))*(G270:G398+G400:G528))+G399*_xlfn.NORM.DIST(0,0,L399,TRUE)*2</f>
        <v>5.3076786143769423</v>
      </c>
      <c r="L399" s="3">
        <f t="shared" si="20"/>
        <v>3.0000000000000001E-3</v>
      </c>
    </row>
    <row r="400" spans="1:12" x14ac:dyDescent="0.4">
      <c r="A400" s="3">
        <v>-0.13500000000000001</v>
      </c>
      <c r="B400" s="3">
        <v>3.4669738030406643E-3</v>
      </c>
      <c r="C400" s="4">
        <f t="shared" si="19"/>
        <v>2.0287798714935766E-4</v>
      </c>
      <c r="D400" s="5">
        <f t="shared" si="18"/>
        <v>2.0287798714935766E-4</v>
      </c>
      <c r="F400" s="3">
        <v>0.39800000000000002</v>
      </c>
      <c r="G400" s="3">
        <v>3.5775036874057595</v>
      </c>
      <c r="H400" s="3" cm="1">
        <f t="array" ref="H400">SUM((_xlfn.NORM.DIST((F271:F399-F400),0,L400,TRUE)-_xlfn.NORM.DIST((F271:F399-F400-0.001),0,L400,TRUE))*(G271:G399+G401:G529))+G400*_xlfn.NORM.DIST(0,0,L400,TRUE)*2</f>
        <v>5.2940822306561204</v>
      </c>
      <c r="L400" s="3">
        <f t="shared" si="20"/>
        <v>3.0000000000000001E-3</v>
      </c>
    </row>
    <row r="401" spans="1:12" x14ac:dyDescent="0.4">
      <c r="A401" s="3">
        <v>-0.13400000000000001</v>
      </c>
      <c r="B401" s="3">
        <v>3.6811080091749787E-3</v>
      </c>
      <c r="C401" s="4">
        <f t="shared" si="19"/>
        <v>2.1413420613431442E-4</v>
      </c>
      <c r="D401" s="5">
        <f t="shared" si="18"/>
        <v>2.1413420613431442E-4</v>
      </c>
      <c r="F401" s="3">
        <v>0.39900000000000002</v>
      </c>
      <c r="G401" s="3">
        <v>3.5696183941978146</v>
      </c>
      <c r="H401" s="3" cm="1">
        <f t="array" ref="H401">SUM((_xlfn.NORM.DIST((F272:F400-F401),0,L401,TRUE)-_xlfn.NORM.DIST((F272:F400-F401-0.001),0,L401,TRUE))*(G272:G400+G402:G530))+G401*_xlfn.NORM.DIST(0,0,L401,TRUE)*2</f>
        <v>5.2806684492659102</v>
      </c>
      <c r="L401" s="3">
        <f t="shared" si="20"/>
        <v>3.0000000000000001E-3</v>
      </c>
    </row>
    <row r="402" spans="1:12" x14ac:dyDescent="0.4">
      <c r="A402" s="3">
        <v>-0.13300000000000001</v>
      </c>
      <c r="B402" s="3">
        <v>3.9070325748527717E-3</v>
      </c>
      <c r="C402" s="4">
        <f t="shared" si="19"/>
        <v>2.2592456567779298E-4</v>
      </c>
      <c r="D402" s="5">
        <f t="shared" si="18"/>
        <v>2.2592456567779298E-4</v>
      </c>
      <c r="F402" s="3">
        <v>0.4</v>
      </c>
      <c r="G402" s="3">
        <v>3.5618115986589842</v>
      </c>
      <c r="H402" s="3" cm="1">
        <f t="array" ref="H402">SUM((_xlfn.NORM.DIST((F273:F401-F402),0,L402,TRUE)-_xlfn.NORM.DIST((F273:F401-F402-0.001),0,L402,TRUE))*(G273:G401+G403:G531))+G402*_xlfn.NORM.DIST(0,0,L402,TRUE)*2</f>
        <v>5.2674326532666278</v>
      </c>
      <c r="L402" s="3">
        <f t="shared" si="20"/>
        <v>3.0000000000000001E-3</v>
      </c>
    </row>
    <row r="403" spans="1:12" x14ac:dyDescent="0.4">
      <c r="A403" s="3">
        <v>-0.13200000000000001</v>
      </c>
      <c r="B403" s="3">
        <v>4.1453013610360367E-3</v>
      </c>
      <c r="C403" s="4">
        <f t="shared" si="19"/>
        <v>2.38268786183265E-4</v>
      </c>
      <c r="D403" s="5">
        <f t="shared" si="18"/>
        <v>2.38268786183265E-4</v>
      </c>
      <c r="F403" s="3">
        <v>0.40100000000000002</v>
      </c>
      <c r="G403" s="3">
        <v>3.5540821344350282</v>
      </c>
      <c r="H403" s="3" cm="1">
        <f t="array" ref="H403">SUM((_xlfn.NORM.DIST((F274:F402-F403),0,L403,TRUE)-_xlfn.NORM.DIST((F274:F402-F403-0.001),0,L403,TRUE))*(G274:G402+G404:G532))+G403*_xlfn.NORM.DIST(0,0,L403,TRUE)*2</f>
        <v>5.2543704185027469</v>
      </c>
      <c r="L403" s="3">
        <f t="shared" si="20"/>
        <v>3.0000000000000001E-3</v>
      </c>
    </row>
    <row r="404" spans="1:12" x14ac:dyDescent="0.4">
      <c r="A404" s="3">
        <v>-0.13100000000000001</v>
      </c>
      <c r="B404" s="3">
        <v>4.3964883481213092E-3</v>
      </c>
      <c r="C404" s="4">
        <f t="shared" si="19"/>
        <v>2.5118698708527249E-4</v>
      </c>
      <c r="D404" s="5">
        <f t="shared" si="18"/>
        <v>2.5118698708527249E-4</v>
      </c>
      <c r="F404" s="3">
        <v>0.40200000000000002</v>
      </c>
      <c r="G404" s="3">
        <v>3.5464288581636119</v>
      </c>
      <c r="H404" s="3" cm="1">
        <f t="array" ref="H404">SUM((_xlfn.NORM.DIST((F275:F403-F404),0,L404,TRUE)-_xlfn.NORM.DIST((F275:F403-F404-0.001),0,L404,TRUE))*(G275:G403+G405:G533))+G404*_xlfn.NORM.DIST(0,0,L404,TRUE)*2</f>
        <v>5.241477502141346</v>
      </c>
      <c r="L404" s="3">
        <f t="shared" si="20"/>
        <v>3.0000000000000001E-3</v>
      </c>
    </row>
    <row r="405" spans="1:12" x14ac:dyDescent="0.4">
      <c r="A405" s="3">
        <v>-0.13</v>
      </c>
      <c r="B405" s="3">
        <v>4.6611880237187476E-3</v>
      </c>
      <c r="C405" s="4">
        <f t="shared" si="19"/>
        <v>2.6469967559743842E-4</v>
      </c>
      <c r="D405" s="5">
        <f t="shared" si="18"/>
        <v>2.6469967559743842E-4</v>
      </c>
      <c r="F405" s="3">
        <v>0.40300000000000002</v>
      </c>
      <c r="G405" s="3">
        <v>3.5388506489129465</v>
      </c>
      <c r="H405" s="3" cm="1">
        <f t="array" ref="H405">SUM((_xlfn.NORM.DIST((F276:F404-F405),0,L405,TRUE)-_xlfn.NORM.DIST((F276:F404-F405-0.001),0,L405,TRUE))*(G276:G404+G406:G534))+G405*_xlfn.NORM.DIST(0,0,L405,TRUE)*2</f>
        <v>5.2287498320775976</v>
      </c>
      <c r="L405" s="3">
        <f t="shared" si="20"/>
        <v>3.0000000000000001E-3</v>
      </c>
    </row>
    <row r="406" spans="1:12" x14ac:dyDescent="0.4">
      <c r="A406" s="3">
        <v>-0.129</v>
      </c>
      <c r="B406" s="3">
        <v>4.9400157577706438E-3</v>
      </c>
      <c r="C406" s="4">
        <f t="shared" si="19"/>
        <v>2.7882773405189624E-4</v>
      </c>
      <c r="D406" s="5">
        <f t="shared" si="18"/>
        <v>2.7882773405189624E-4</v>
      </c>
      <c r="F406" s="3">
        <v>0.40400000000000003</v>
      </c>
      <c r="G406" s="3">
        <v>3.5313464076336341</v>
      </c>
      <c r="H406" s="3" cm="1">
        <f t="array" ref="H406">SUM((_xlfn.NORM.DIST((F277:F405-F406),0,L406,TRUE)-_xlfn.NORM.DIST((F277:F405-F406-0.001),0,L406,TRUE))*(G277:G405+G407:G535))+G406*_xlfn.NORM.DIST(0,0,L406,TRUE)*2</f>
        <v>5.2161834971242058</v>
      </c>
      <c r="L406" s="3">
        <f t="shared" si="20"/>
        <v>3.0000000000000001E-3</v>
      </c>
    </row>
    <row r="407" spans="1:12" x14ac:dyDescent="0.4">
      <c r="A407" s="3">
        <v>-0.128</v>
      </c>
      <c r="B407" s="3">
        <v>5.2336081635557816E-3</v>
      </c>
      <c r="C407" s="4">
        <f t="shared" si="19"/>
        <v>2.9359240578513777E-4</v>
      </c>
      <c r="D407" s="5">
        <f t="shared" si="18"/>
        <v>2.9359240578513777E-4</v>
      </c>
      <c r="F407" s="3">
        <v>0.40500000000000003</v>
      </c>
      <c r="G407" s="3">
        <v>3.5239150566243413</v>
      </c>
      <c r="H407" s="3" cm="1">
        <f t="array" ref="H407">SUM((_xlfn.NORM.DIST((F278:F406-F407),0,L407,TRUE)-_xlfn.NORM.DIST((F278:F406-F407-0.001),0,L407,TRUE))*(G278:G406+G408:G536))+G407*_xlfn.NORM.DIST(0,0,L407,TRUE)*2</f>
        <v>5.0874818858008846</v>
      </c>
      <c r="L407" s="3">
        <f t="shared" si="20"/>
        <v>3.0000000000000001E-3</v>
      </c>
    </row>
    <row r="408" spans="1:12" x14ac:dyDescent="0.4">
      <c r="A408" s="3">
        <v>-0.127</v>
      </c>
      <c r="B408" s="3">
        <v>5.5426234430825993E-3</v>
      </c>
      <c r="C408" s="4">
        <f t="shared" si="19"/>
        <v>3.0901527952681765E-4</v>
      </c>
      <c r="D408" s="5">
        <f t="shared" si="18"/>
        <v>3.0901527952681765E-4</v>
      </c>
      <c r="F408" s="3">
        <v>0.40600000000000003</v>
      </c>
      <c r="G408" s="3">
        <v>3.5165555390208953</v>
      </c>
      <c r="H408" s="3" cm="1">
        <f t="array" ref="H408">SUM((_xlfn.NORM.DIST((F279:F407-F408),0,L408,TRUE)-_xlfn.NORM.DIST((F279:F407-F408-0.001),0,L408,TRUE))*(G279:G407+G409:G537))+G408*_xlfn.NORM.DIST(0,0,L408,TRUE)*2</f>
        <v>4.9825558623881863</v>
      </c>
      <c r="L408" s="3">
        <f t="shared" si="20"/>
        <v>3.0000000000000001E-3</v>
      </c>
    </row>
    <row r="409" spans="1:12" x14ac:dyDescent="0.4">
      <c r="A409" s="3">
        <v>-0.126</v>
      </c>
      <c r="B409" s="3">
        <v>5.8677417153325615E-3</v>
      </c>
      <c r="C409" s="4">
        <f t="shared" si="19"/>
        <v>3.2511827224996227E-4</v>
      </c>
      <c r="D409" s="5">
        <f t="shared" si="18"/>
        <v>3.2511827224996227E-4</v>
      </c>
      <c r="F409" s="3">
        <v>0.40700000000000003</v>
      </c>
      <c r="G409" s="3">
        <v>3.5092668182924012</v>
      </c>
      <c r="H409" s="3" cm="1">
        <f t="array" ref="H409">SUM((_xlfn.NORM.DIST((F280:F408-F409),0,L409,TRUE)-_xlfn.NORM.DIST((F280:F408-F409-0.001),0,L409,TRUE))*(G280:G408+G410:G538))+G409*_xlfn.NORM.DIST(0,0,L409,TRUE)*2</f>
        <v>4.9045232261517748</v>
      </c>
      <c r="L409" s="3">
        <f t="shared" si="20"/>
        <v>3.0000000000000001E-3</v>
      </c>
    </row>
    <row r="410" spans="1:12" x14ac:dyDescent="0.4">
      <c r="A410" s="3">
        <v>-0.125</v>
      </c>
      <c r="B410" s="3">
        <v>6.2096653257761331E-3</v>
      </c>
      <c r="C410" s="4">
        <f t="shared" si="19"/>
        <v>3.4192361044357161E-4</v>
      </c>
      <c r="D410" s="5">
        <f t="shared" si="18"/>
        <v>3.4192361044357161E-4</v>
      </c>
      <c r="F410" s="3">
        <v>0.40800000000000003</v>
      </c>
      <c r="G410" s="3">
        <v>3.5020478777535309</v>
      </c>
      <c r="H410" s="3" cm="1">
        <f t="array" ref="H410">SUM((_xlfn.NORM.DIST((F281:F409-F410),0,L410,TRUE)-_xlfn.NORM.DIST((F281:F409-F410-0.001),0,L410,TRUE))*(G281:G409+G411:G539))+G410*_xlfn.NORM.DIST(0,0,L410,TRUE)*2</f>
        <v>4.8508674915112984</v>
      </c>
      <c r="L410" s="3">
        <f t="shared" si="20"/>
        <v>3.0000000000000001E-3</v>
      </c>
    </row>
    <row r="411" spans="1:12" x14ac:dyDescent="0.4">
      <c r="A411" s="3">
        <v>-0.124</v>
      </c>
      <c r="B411" s="3">
        <v>6.569119135546763E-3</v>
      </c>
      <c r="C411" s="4">
        <f t="shared" si="19"/>
        <v>3.5945380977062992E-4</v>
      </c>
      <c r="D411" s="5">
        <f t="shared" si="18"/>
        <v>3.5945380977062992E-4</v>
      </c>
      <c r="F411" s="3">
        <v>0.40900000000000003</v>
      </c>
      <c r="G411" s="3">
        <v>3.4948977200952518</v>
      </c>
      <c r="H411" s="3" cm="1">
        <f t="array" ref="H411">SUM((_xlfn.NORM.DIST((F282:F410-F411),0,L411,TRUE)-_xlfn.NORM.DIST((F282:F410-F411-0.001),0,L411,TRUE))*(G282:G410+G412:G540))+G411*_xlfn.NORM.DIST(0,0,L411,TRUE)*2</f>
        <v>4.8158351282017753</v>
      </c>
      <c r="L411" s="3">
        <f t="shared" si="20"/>
        <v>3.0000000000000001E-3</v>
      </c>
    </row>
    <row r="412" spans="1:12" x14ac:dyDescent="0.4">
      <c r="A412" s="3">
        <v>-0.123</v>
      </c>
      <c r="B412" s="3">
        <v>6.9468507886243092E-3</v>
      </c>
      <c r="C412" s="4">
        <f t="shared" si="19"/>
        <v>3.7773165307754611E-4</v>
      </c>
      <c r="D412" s="5">
        <f t="shared" si="18"/>
        <v>3.7773165307754611E-4</v>
      </c>
      <c r="F412" s="3">
        <v>0.41000000000000003</v>
      </c>
      <c r="G412" s="3">
        <v>3.4878153669205112</v>
      </c>
      <c r="H412" s="3" cm="1">
        <f t="array" ref="H412">SUM((_xlfn.NORM.DIST((F283:F411-F412),0,L412,TRUE)-_xlfn.NORM.DIST((F283:F411-F412-0.001),0,L412,TRUE))*(G283:G411+G413:G541))+G412*_xlfn.NORM.DIST(0,0,L412,TRUE)*2</f>
        <v>4.7930779124994292</v>
      </c>
      <c r="L412" s="3">
        <f t="shared" si="20"/>
        <v>3.0000000000000001E-3</v>
      </c>
    </row>
    <row r="413" spans="1:12" x14ac:dyDescent="0.4">
      <c r="A413" s="3">
        <v>-0.122</v>
      </c>
      <c r="B413" s="3">
        <v>7.3436309553483459E-3</v>
      </c>
      <c r="C413" s="4">
        <f t="shared" si="19"/>
        <v>3.9678016672403671E-4</v>
      </c>
      <c r="D413" s="5">
        <f t="shared" si="18"/>
        <v>3.9678016672403671E-4</v>
      </c>
      <c r="F413" s="3">
        <v>0.41100000000000003</v>
      </c>
      <c r="G413" s="3">
        <v>3.4807998583032047</v>
      </c>
      <c r="H413" s="3" cm="1">
        <f t="array" ref="H413">SUM((_xlfn.NORM.DIST((F284:F412-F413),0,L413,TRUE)-_xlfn.NORM.DIST((F284:F412-F413-0.001),0,L413,TRUE))*(G284:G412+G414:G542))+G413*_xlfn.NORM.DIST(0,0,L413,TRUE)*2</f>
        <v>4.7773980500199311</v>
      </c>
      <c r="L413" s="3">
        <f t="shared" si="20"/>
        <v>3.0000000000000001E-3</v>
      </c>
    </row>
    <row r="414" spans="1:12" x14ac:dyDescent="0.4">
      <c r="A414" s="3">
        <v>-0.121</v>
      </c>
      <c r="B414" s="3">
        <v>7.7602535505536425E-3</v>
      </c>
      <c r="C414" s="4">
        <f t="shared" si="19"/>
        <v>4.1662259520529668E-4</v>
      </c>
      <c r="D414" s="5">
        <f t="shared" si="18"/>
        <v>4.1662259520529668E-4</v>
      </c>
      <c r="F414" s="3">
        <v>0.41200000000000003</v>
      </c>
      <c r="G414" s="3">
        <v>3.4738502523513661</v>
      </c>
      <c r="H414" s="3" cm="1">
        <f t="array" ref="H414">SUM((_xlfn.NORM.DIST((F285:F413-F414),0,L414,TRUE)-_xlfn.NORM.DIST((F285:F413-F414-0.001),0,L414,TRUE))*(G285:G413+G415:G543))+G414*_xlfn.NORM.DIST(0,0,L414,TRUE)*2</f>
        <v>4.7653283035449796</v>
      </c>
      <c r="L414" s="3">
        <f t="shared" si="20"/>
        <v>3.0000000000000001E-3</v>
      </c>
    </row>
    <row r="415" spans="1:12" x14ac:dyDescent="0.4">
      <c r="A415" s="3">
        <v>-0.12</v>
      </c>
      <c r="B415" s="3">
        <v>8.1975359245961311E-3</v>
      </c>
      <c r="C415" s="4">
        <f t="shared" si="19"/>
        <v>4.372823740424886E-4</v>
      </c>
      <c r="D415" s="5">
        <f t="shared" si="18"/>
        <v>4.372823740424886E-4</v>
      </c>
      <c r="F415" s="3">
        <v>0.41300000000000003</v>
      </c>
      <c r="G415" s="3">
        <v>3.4669656247865448</v>
      </c>
      <c r="H415" s="3" cm="1">
        <f t="array" ref="H415">SUM((_xlfn.NORM.DIST((F286:F414-F415),0,L415,TRUE)-_xlfn.NORM.DIST((F286:F414-F415-0.001),0,L415,TRUE))*(G286:G414+G416:G544))+G415*_xlfn.NORM.DIST(0,0,L415,TRUE)*2</f>
        <v>4.75491345653157</v>
      </c>
      <c r="L415" s="3">
        <f t="shared" si="20"/>
        <v>3.0000000000000001E-3</v>
      </c>
    </row>
    <row r="416" spans="1:12" x14ac:dyDescent="0.4">
      <c r="A416" s="3">
        <v>-0.11899999999999999</v>
      </c>
      <c r="B416" s="3">
        <v>8.6563190255165429E-3</v>
      </c>
      <c r="C416" s="4">
        <f t="shared" si="19"/>
        <v>4.5878310092041172E-4</v>
      </c>
      <c r="D416" s="5">
        <f t="shared" si="18"/>
        <v>4.5878310092041172E-4</v>
      </c>
      <c r="F416" s="3">
        <v>0.41400000000000003</v>
      </c>
      <c r="G416" s="3">
        <v>3.4601450685330795</v>
      </c>
      <c r="H416" s="3" cm="1">
        <f t="array" ref="H416">SUM((_xlfn.NORM.DIST((F287:F415-F416),0,L416,TRUE)-_xlfn.NORM.DIST((F287:F415-F416-0.001),0,L416,TRUE))*(G287:G415+G417:G545))+G416*_xlfn.NORM.DIST(0,0,L416,TRUE)*2</f>
        <v>4.7452036662240076</v>
      </c>
      <c r="L416" s="3">
        <f t="shared" si="20"/>
        <v>3.0000000000000001E-3</v>
      </c>
    </row>
    <row r="417" spans="1:12" x14ac:dyDescent="0.4">
      <c r="A417" s="3">
        <v>-0.11799999999999999</v>
      </c>
      <c r="B417" s="3">
        <v>9.1374675305726672E-3</v>
      </c>
      <c r="C417" s="4">
        <f t="shared" si="19"/>
        <v>4.8114850505612435E-4</v>
      </c>
      <c r="D417" s="5">
        <f t="shared" si="18"/>
        <v>4.8114850505612435E-4</v>
      </c>
      <c r="F417" s="3">
        <v>0.41500000000000004</v>
      </c>
      <c r="G417" s="3">
        <v>3.4533876933207122</v>
      </c>
      <c r="H417" s="3" cm="1">
        <f t="array" ref="H417">SUM((_xlfn.NORM.DIST((F288:F416-F417),0,L417,TRUE)-_xlfn.NORM.DIST((F288:F416-F417-0.001),0,L417,TRUE))*(G288:G416+G418:G546))+G417*_xlfn.NORM.DIST(0,0,L417,TRUE)*2</f>
        <v>4.7357968011963614</v>
      </c>
      <c r="L417" s="3">
        <f t="shared" si="20"/>
        <v>3.0000000000000001E-3</v>
      </c>
    </row>
    <row r="418" spans="1:12" x14ac:dyDescent="0.4">
      <c r="A418" s="3">
        <v>-0.11699999999999999</v>
      </c>
      <c r="B418" s="3">
        <v>9.6418699453583289E-3</v>
      </c>
      <c r="C418" s="4">
        <f t="shared" si="19"/>
        <v>5.044024147856617E-4</v>
      </c>
      <c r="D418" s="5">
        <f t="shared" si="18"/>
        <v>5.044024147856617E-4</v>
      </c>
      <c r="F418" s="3">
        <v>0.41600000000000004</v>
      </c>
      <c r="G418" s="3">
        <v>3.4466926252964734</v>
      </c>
      <c r="H418" s="3" cm="1">
        <f t="array" ref="H418">SUM((_xlfn.NORM.DIST((F289:F417-F418),0,L418,TRUE)-_xlfn.NORM.DIST((F289:F417-F418-0.001),0,L418,TRUE))*(G289:G417+G419:G547))+G418*_xlfn.NORM.DIST(0,0,L418,TRUE)*2</f>
        <v>4.7265431287088422</v>
      </c>
      <c r="L418" s="3">
        <f t="shared" si="20"/>
        <v>3.0000000000000001E-3</v>
      </c>
    </row>
    <row r="419" spans="1:12" x14ac:dyDescent="0.4">
      <c r="A419" s="3">
        <v>-0.11600000000000005</v>
      </c>
      <c r="B419" s="3">
        <v>1.0170438668719653E-2</v>
      </c>
      <c r="C419" s="4">
        <f t="shared" si="19"/>
        <v>5.2856872336132406E-4</v>
      </c>
      <c r="D419" s="5">
        <f t="shared" si="18"/>
        <v>5.2856872336132406E-4</v>
      </c>
      <c r="F419" s="3">
        <v>0.41699999999999998</v>
      </c>
      <c r="G419" s="3">
        <v>3.440059006649248</v>
      </c>
      <c r="H419" s="3" cm="1">
        <f t="array" ref="H419">SUM((_xlfn.NORM.DIST((F290:F418-F419),0,L419,TRUE)-_xlfn.NORM.DIST((F290:F418-F419-0.001),0,L419,TRUE))*(G290:G418+G420:G548))+G419*_xlfn.NORM.DIST(0,0,L419,TRUE)*2</f>
        <v>4.7173929984869325</v>
      </c>
      <c r="L419" s="3">
        <f t="shared" si="20"/>
        <v>3.0000000000000001E-3</v>
      </c>
    </row>
    <row r="420" spans="1:12" x14ac:dyDescent="0.4">
      <c r="A420" s="3">
        <v>-0.11500000000000005</v>
      </c>
      <c r="B420" s="3">
        <v>1.0724110021675783E-2</v>
      </c>
      <c r="C420" s="4">
        <f t="shared" si="19"/>
        <v>5.5367135295612997E-4</v>
      </c>
      <c r="D420" s="5">
        <f t="shared" si="18"/>
        <v>5.5367135295612997E-4</v>
      </c>
      <c r="F420" s="3">
        <v>0.41799999999999998</v>
      </c>
      <c r="G420" s="3">
        <v>3.4334859952419552</v>
      </c>
      <c r="H420" s="3" cm="1">
        <f t="array" ref="H420">SUM((_xlfn.NORM.DIST((F291:F419-F420),0,L420,TRUE)-_xlfn.NORM.DIST((F291:F419-F420-0.001),0,L420,TRUE))*(G291:G419+G421:G549))+G420*_xlfn.NORM.DIST(0,0,L420,TRUE)*2</f>
        <v>4.7083312691165169</v>
      </c>
      <c r="L420" s="3">
        <f t="shared" si="20"/>
        <v>3.0000000000000001E-3</v>
      </c>
    </row>
    <row r="421" spans="1:12" x14ac:dyDescent="0.4">
      <c r="A421" s="3">
        <v>-0.11400000000000005</v>
      </c>
      <c r="B421" s="3">
        <v>1.1303844238552773E-2</v>
      </c>
      <c r="C421" s="4">
        <f t="shared" si="19"/>
        <v>5.7973421687699048E-4</v>
      </c>
      <c r="D421" s="5">
        <f t="shared" si="18"/>
        <v>5.7973421687699048E-4</v>
      </c>
      <c r="F421" s="3">
        <v>0.41899999999999998</v>
      </c>
      <c r="G421" s="3">
        <v>3.4269727642558458</v>
      </c>
      <c r="H421" s="3" cm="1">
        <f t="array" ref="H421">SUM((_xlfn.NORM.DIST((F292:F420-F421),0,L421,TRUE)-_xlfn.NORM.DIST((F292:F420-F421-0.001),0,L421,TRUE))*(G292:G420+G422:G550))+G421*_xlfn.NORM.DIST(0,0,L421,TRUE)*2</f>
        <v>4.6993532240798288</v>
      </c>
      <c r="L421" s="3">
        <f t="shared" si="20"/>
        <v>3.0000000000000001E-3</v>
      </c>
    </row>
    <row r="422" spans="1:12" x14ac:dyDescent="0.4">
      <c r="A422" s="3">
        <v>-0.11300000000000004</v>
      </c>
      <c r="B422" s="3">
        <v>1.1910625418547033E-2</v>
      </c>
      <c r="C422" s="4">
        <f t="shared" si="19"/>
        <v>6.0678117999425976E-4</v>
      </c>
      <c r="D422" s="5">
        <f t="shared" si="18"/>
        <v>6.0678117999425976E-4</v>
      </c>
      <c r="F422" s="3">
        <v>0.42</v>
      </c>
      <c r="G422" s="3">
        <v>3.4205185018443367</v>
      </c>
      <c r="H422" s="3" cm="1">
        <f t="array" ref="H422">SUM((_xlfn.NORM.DIST((F293:F421-F422),0,L422,TRUE)-_xlfn.NORM.DIST((F293:F421-F422-0.001),0,L422,TRUE))*(G293:G421+G423:G551))+G422*_xlfn.NORM.DIST(0,0,L422,TRUE)*2</f>
        <v>4.6904569276395147</v>
      </c>
      <c r="L422" s="3">
        <f t="shared" si="20"/>
        <v>3.0000000000000001E-3</v>
      </c>
    </row>
    <row r="423" spans="1:12" x14ac:dyDescent="0.4">
      <c r="A423" s="3">
        <v>-0.11200000000000004</v>
      </c>
      <c r="B423" s="3">
        <v>1.2545461435946538E-2</v>
      </c>
      <c r="C423" s="4">
        <f t="shared" si="19"/>
        <v>6.3483601739950518E-4</v>
      </c>
      <c r="D423" s="5">
        <f t="shared" si="18"/>
        <v>6.3483601739950518E-4</v>
      </c>
      <c r="F423" s="3">
        <v>0.42099999999999999</v>
      </c>
      <c r="G423" s="3">
        <v>3.4141224107930177</v>
      </c>
      <c r="H423" s="3" cm="1">
        <f t="array" ref="H423">SUM((_xlfn.NORM.DIST((F294:F422-F423),0,L423,TRUE)-_xlfn.NORM.DIST((F294:F422-F423-0.001),0,L423,TRUE))*(G294:G422+G424:G552))+G423*_xlfn.NORM.DIST(0,0,L423,TRUE)*2</f>
        <v>4.681641110539152</v>
      </c>
      <c r="L423" s="3">
        <f t="shared" si="20"/>
        <v>3.0000000000000001E-3</v>
      </c>
    </row>
    <row r="424" spans="1:12" x14ac:dyDescent="0.4">
      <c r="A424" s="3">
        <v>-0.11100000000000004</v>
      </c>
      <c r="B424" s="3">
        <v>1.3209383807256253E-2</v>
      </c>
      <c r="C424" s="4">
        <f t="shared" si="19"/>
        <v>6.639223713097147E-4</v>
      </c>
      <c r="D424" s="5">
        <f t="shared" si="18"/>
        <v>6.639223713097147E-4</v>
      </c>
      <c r="F424" s="3">
        <v>0.42199999999999999</v>
      </c>
      <c r="G424" s="3">
        <v>3.4077837081946161</v>
      </c>
      <c r="H424" s="3" cm="1">
        <f t="array" ref="H424">SUM((_xlfn.NORM.DIST((F295:F423-F424),0,L424,TRUE)-_xlfn.NORM.DIST((F295:F423-F424-0.001),0,L424,TRUE))*(G295:G423+G425:G553))+G424*_xlfn.NORM.DIST(0,0,L424,TRUE)*2</f>
        <v>4.6729046572632296</v>
      </c>
      <c r="L424" s="3">
        <f t="shared" si="20"/>
        <v>3.0000000000000001E-3</v>
      </c>
    </row>
    <row r="425" spans="1:12" x14ac:dyDescent="0.4">
      <c r="A425" s="3">
        <v>-0.11000000000000004</v>
      </c>
      <c r="B425" s="3">
        <v>1.3903447513498582E-2</v>
      </c>
      <c r="C425" s="4">
        <f t="shared" si="19"/>
        <v>6.9406370624232848E-4</v>
      </c>
      <c r="D425" s="5">
        <f t="shared" si="18"/>
        <v>6.9406370624232848E-4</v>
      </c>
      <c r="F425" s="3">
        <v>0.42299999999999999</v>
      </c>
      <c r="G425" s="3">
        <v>3.4015016251285202</v>
      </c>
      <c r="H425" s="3" cm="1">
        <f t="array" ref="H425">SUM((_xlfn.NORM.DIST((F296:F424-F425),0,L425,TRUE)-_xlfn.NORM.DIST((F296:F424-F425-0.001),0,L425,TRUE))*(G296:G424+G426:G554))+G425*_xlfn.NORM.DIST(0,0,L425,TRUE)*2</f>
        <v>4.6642464963397785</v>
      </c>
      <c r="L425" s="3">
        <f t="shared" si="20"/>
        <v>3.0000000000000001E-3</v>
      </c>
    </row>
    <row r="426" spans="1:12" x14ac:dyDescent="0.4">
      <c r="A426" s="3">
        <v>-0.10900000000000004</v>
      </c>
      <c r="B426" s="3">
        <v>1.4628730775989236E-2</v>
      </c>
      <c r="C426" s="4">
        <f t="shared" si="19"/>
        <v>7.2528326249065439E-4</v>
      </c>
      <c r="D426" s="5">
        <f t="shared" si="18"/>
        <v>7.2528326249065439E-4</v>
      </c>
      <c r="F426" s="3">
        <v>0.42399999999999999</v>
      </c>
      <c r="G426" s="3">
        <v>3.3952754063493291</v>
      </c>
      <c r="H426" s="3" cm="1">
        <f t="array" ref="H426">SUM((_xlfn.NORM.DIST((F297:F425-F426),0,L426,TRUE)-_xlfn.NORM.DIST((F297:F425-F426-0.001),0,L426,TRUE))*(G297:G425+G427:G555))+G426*_xlfn.NORM.DIST(0,0,L426,TRUE)*2</f>
        <v>4.655665579339539</v>
      </c>
      <c r="L426" s="3">
        <f t="shared" si="20"/>
        <v>3.0000000000000001E-3</v>
      </c>
    </row>
    <row r="427" spans="1:12" x14ac:dyDescent="0.4">
      <c r="A427" s="3">
        <v>-0.10800000000000004</v>
      </c>
      <c r="B427" s="3">
        <v>1.5386334783925419E-2</v>
      </c>
      <c r="C427" s="4">
        <f t="shared" si="19"/>
        <v>7.5760400793618322E-4</v>
      </c>
      <c r="D427" s="5">
        <f t="shared" si="18"/>
        <v>7.5760400793618322E-4</v>
      </c>
      <c r="F427" s="3">
        <v>0.42499999999999999</v>
      </c>
      <c r="G427" s="3">
        <v>3.3891043099843561</v>
      </c>
      <c r="H427" s="3" cm="1">
        <f t="array" ref="H427">SUM((_xlfn.NORM.DIST((F298:F426-F427),0,L427,TRUE)-_xlfn.NORM.DIST((F298:F426-F427-0.001),0,L427,TRUE))*(G298:G426+G428:G556))+G427*_xlfn.NORM.DIST(0,0,L427,TRUE)*2</f>
        <v>4.647160877027777</v>
      </c>
      <c r="L427" s="3">
        <f t="shared" si="20"/>
        <v>3.0000000000000001E-3</v>
      </c>
    </row>
    <row r="428" spans="1:12" x14ac:dyDescent="0.4">
      <c r="A428" s="3">
        <v>-0.10700000000000004</v>
      </c>
      <c r="B428" s="3">
        <v>1.6177383372166072E-2</v>
      </c>
      <c r="C428" s="4">
        <f t="shared" si="19"/>
        <v>7.9104858824065316E-4</v>
      </c>
      <c r="D428" s="5">
        <f t="shared" si="18"/>
        <v>7.9104858824065316E-4</v>
      </c>
      <c r="F428" s="3">
        <v>0.42599999999999999</v>
      </c>
      <c r="G428" s="3">
        <v>3.3829876072397944</v>
      </c>
      <c r="H428" s="3" cm="1">
        <f t="array" ref="H428">SUM((_xlfn.NORM.DIST((F299:F427-F428),0,L428,TRUE)-_xlfn.NORM.DIST((F299:F427-F428-0.001),0,L428,TRUE))*(G299:G427+G429:G557))+G428*_xlfn.NORM.DIST(0,0,L428,TRUE)*2</f>
        <v>4.6387313784477637</v>
      </c>
      <c r="L428" s="3">
        <f t="shared" si="20"/>
        <v>3.0000000000000001E-3</v>
      </c>
    </row>
    <row r="429" spans="1:12" x14ac:dyDescent="0.4">
      <c r="A429" s="3">
        <v>-0.10600000000000004</v>
      </c>
      <c r="B429" s="3">
        <v>1.7003022647632777E-2</v>
      </c>
      <c r="C429" s="4">
        <f t="shared" si="19"/>
        <v>8.2563927546670454E-4</v>
      </c>
      <c r="D429" s="5">
        <f t="shared" si="18"/>
        <v>8.2563927546670454E-4</v>
      </c>
      <c r="F429" s="3">
        <v>0.42699999999999999</v>
      </c>
      <c r="G429" s="3">
        <v>3.3769245821111404</v>
      </c>
      <c r="H429" s="3" cm="1">
        <f t="array" ref="H429">SUM((_xlfn.NORM.DIST((F300:F428-F429),0,L429,TRUE)-_xlfn.NORM.DIST((F300:F428-F429-0.001),0,L429,TRUE))*(G300:G428+G430:G558))+G429*_xlfn.NORM.DIST(0,0,L429,TRUE)*2</f>
        <v>4.6303760904512252</v>
      </c>
      <c r="L429" s="3">
        <f t="shared" si="20"/>
        <v>3.0000000000000001E-3</v>
      </c>
    </row>
    <row r="430" spans="1:12" x14ac:dyDescent="0.4">
      <c r="A430" s="3">
        <v>-0.10500000000000004</v>
      </c>
      <c r="B430" s="3">
        <v>1.7864420562816528E-2</v>
      </c>
      <c r="C430" s="4">
        <f t="shared" si="19"/>
        <v>8.6139791518375156E-4</v>
      </c>
      <c r="D430" s="5">
        <f t="shared" si="18"/>
        <v>8.6139791518375156E-4</v>
      </c>
      <c r="F430" s="3">
        <v>0.42799999999999999</v>
      </c>
      <c r="G430" s="3">
        <v>3.3561575344370107</v>
      </c>
      <c r="H430" s="3" cm="1">
        <f t="array" ref="H430">SUM((_xlfn.NORM.DIST((F301:F429-F430),0,L430,TRUE)-_xlfn.NORM.DIST((F301:F429-F430-0.001),0,L430,TRUE))*(G301:G429+G431:G559))+G430*_xlfn.NORM.DIST(0,0,L430,TRUE)*2</f>
        <v>4.6073370406334622</v>
      </c>
      <c r="L430" s="3">
        <f t="shared" si="20"/>
        <v>3.0000000000000001E-3</v>
      </c>
    </row>
    <row r="431" spans="1:12" x14ac:dyDescent="0.4">
      <c r="A431" s="3">
        <v>-0.10400000000000004</v>
      </c>
      <c r="B431" s="3">
        <v>1.8762766434937718E-2</v>
      </c>
      <c r="C431" s="4">
        <f t="shared" si="19"/>
        <v>8.9834587212118955E-4</v>
      </c>
      <c r="D431" s="5">
        <f t="shared" si="18"/>
        <v>8.9834587212118955E-4</v>
      </c>
      <c r="F431" s="3">
        <v>0.42899999999999999</v>
      </c>
      <c r="G431" s="3">
        <v>3.3352096330233914</v>
      </c>
      <c r="H431" s="3" cm="1">
        <f t="array" ref="H431">SUM((_xlfn.NORM.DIST((F302:F430-F431),0,L431,TRUE)-_xlfn.NORM.DIST((F302:F430-F431-0.001),0,L431,TRUE))*(G302:G430+G432:G560))+G431*_xlfn.NORM.DIST(0,0,L431,TRUE)*2</f>
        <v>4.5824113172581225</v>
      </c>
      <c r="L431" s="3">
        <f t="shared" si="20"/>
        <v>3.0000000000000001E-3</v>
      </c>
    </row>
    <row r="432" spans="1:12" x14ac:dyDescent="0.4">
      <c r="A432" s="3">
        <v>-0.10300000000000004</v>
      </c>
      <c r="B432" s="3">
        <v>1.9699270409376867E-2</v>
      </c>
      <c r="C432" s="4">
        <f t="shared" si="19"/>
        <v>9.3650397443914915E-4</v>
      </c>
      <c r="D432" s="5">
        <f t="shared" si="18"/>
        <v>9.3650397443914915E-4</v>
      </c>
      <c r="F432" s="3">
        <v>0.43</v>
      </c>
      <c r="G432" s="3">
        <v>3.3146967346599965</v>
      </c>
      <c r="H432" s="3" cm="1">
        <f t="array" ref="H432">SUM((_xlfn.NORM.DIST((F303:F431-F432),0,L432,TRUE)-_xlfn.NORM.DIST((F303:F431-F432-0.001),0,L432,TRUE))*(G303:G431+G433:G561))+G432*_xlfn.NORM.DIST(0,0,L432,TRUE)*2</f>
        <v>4.5565283059121455</v>
      </c>
      <c r="L432" s="3">
        <f t="shared" si="20"/>
        <v>3.0000000000000001E-3</v>
      </c>
    </row>
    <row r="433" spans="1:12" x14ac:dyDescent="0.4">
      <c r="A433" s="3">
        <v>-0.10200000000000004</v>
      </c>
      <c r="B433" s="3">
        <v>2.0675162866070018E-2</v>
      </c>
      <c r="C433" s="4">
        <f t="shared" si="19"/>
        <v>9.7589245669315108E-4</v>
      </c>
      <c r="D433" s="5">
        <f t="shared" si="18"/>
        <v>9.7589245669315108E-4</v>
      </c>
      <c r="F433" s="3">
        <v>0.43099999999999999</v>
      </c>
      <c r="G433" s="3">
        <v>3.2946054287124924</v>
      </c>
      <c r="H433" s="3" cm="1">
        <f t="array" ref="H433">SUM((_xlfn.NORM.DIST((F304:F432-F433),0,L433,TRUE)-_xlfn.NORM.DIST((F304:F432-F433-0.001),0,L433,TRUE))*(G304:G432+G434:G562))+G433*_xlfn.NORM.DIST(0,0,L433,TRUE)*2</f>
        <v>4.5301140491236467</v>
      </c>
      <c r="L433" s="3">
        <f t="shared" si="20"/>
        <v>3.0000000000000001E-3</v>
      </c>
    </row>
    <row r="434" spans="1:12" x14ac:dyDescent="0.4">
      <c r="A434" s="3">
        <v>-0.10100000000000003</v>
      </c>
      <c r="B434" s="3">
        <v>2.1691693767646753E-2</v>
      </c>
      <c r="C434" s="4">
        <f t="shared" si="19"/>
        <v>1.016530901576735E-3</v>
      </c>
      <c r="D434" s="5">
        <f t="shared" si="18"/>
        <v>1.016530901576735E-3</v>
      </c>
      <c r="F434" s="3">
        <v>0.432</v>
      </c>
      <c r="G434" s="3">
        <v>3.2749228501841281</v>
      </c>
      <c r="H434" s="3" cm="1">
        <f t="array" ref="H434">SUM((_xlfn.NORM.DIST((F305:F433-F434),0,L434,TRUE)-_xlfn.NORM.DIST((F305:F433-F434-0.001),0,L434,TRUE))*(G305:G433+G435:G563))+G434*_xlfn.NORM.DIST(0,0,L434,TRUE)*2</f>
        <v>4.503550578102109</v>
      </c>
      <c r="L434" s="3">
        <f t="shared" si="20"/>
        <v>3.0000000000000001E-3</v>
      </c>
    </row>
    <row r="435" spans="1:12" x14ac:dyDescent="0.4">
      <c r="A435" s="3">
        <v>-0.10000000000000003</v>
      </c>
      <c r="B435" s="3">
        <v>2.2750131948179184E-2</v>
      </c>
      <c r="C435" s="4">
        <f t="shared" si="19"/>
        <v>1.0584381805324311E-3</v>
      </c>
      <c r="D435" s="5">
        <f t="shared" si="18"/>
        <v>1.0584381805324311E-3</v>
      </c>
      <c r="F435" s="3">
        <v>0.433</v>
      </c>
      <c r="G435" s="3">
        <v>3.2556366522470226</v>
      </c>
      <c r="H435" s="3" cm="1">
        <f t="array" ref="H435">SUM((_xlfn.NORM.DIST((F306:F434-F435),0,L435,TRUE)-_xlfn.NORM.DIST((F306:F434-F435-0.001),0,L435,TRUE))*(G306:G434+G436:G564))+G435*_xlfn.NORM.DIST(0,0,L435,TRUE)*2</f>
        <v>4.4771253749557243</v>
      </c>
      <c r="L435" s="3">
        <f t="shared" si="20"/>
        <v>3.0000000000000001E-3</v>
      </c>
    </row>
    <row r="436" spans="1:12" x14ac:dyDescent="0.4">
      <c r="A436" s="3">
        <v>-9.9000000000000032E-2</v>
      </c>
      <c r="B436" s="3">
        <v>2.3851764341508486E-2</v>
      </c>
      <c r="C436" s="4">
        <f t="shared" si="19"/>
        <v>1.1016323933293014E-3</v>
      </c>
      <c r="D436" s="5">
        <f t="shared" si="18"/>
        <v>1.1016323933293014E-3</v>
      </c>
      <c r="F436" s="3">
        <v>0.434</v>
      </c>
      <c r="G436" s="3">
        <v>3.2367349804115886</v>
      </c>
      <c r="H436" s="3" cm="1">
        <f t="array" ref="H436">SUM((_xlfn.NORM.DIST((F307:F435-F436),0,L436,TRUE)-_xlfn.NORM.DIST((F307:F435-F436-0.001),0,L436,TRUE))*(G307:G435+G437:G565))+G436*_xlfn.NORM.DIST(0,0,L436,TRUE)*2</f>
        <v>4.4510225388957991</v>
      </c>
      <c r="L436" s="3">
        <f t="shared" si="20"/>
        <v>3.0000000000000001E-3</v>
      </c>
    </row>
    <row r="437" spans="1:12" x14ac:dyDescent="0.4">
      <c r="A437" s="3">
        <v>-9.8000000000000032E-2</v>
      </c>
      <c r="B437" s="3">
        <v>2.4997895148220386E-2</v>
      </c>
      <c r="C437" s="4">
        <f t="shared" si="19"/>
        <v>1.1461308067119008E-3</v>
      </c>
      <c r="D437" s="5">
        <f t="shared" si="18"/>
        <v>1.1461308067119008E-3</v>
      </c>
      <c r="F437" s="3">
        <v>0.435</v>
      </c>
      <c r="G437" s="3">
        <v>3.2182064482291644</v>
      </c>
      <c r="H437" s="3" cm="1">
        <f t="array" ref="H437">SUM((_xlfn.NORM.DIST((F308:F436-F437),0,L437,TRUE)-_xlfn.NORM.DIST((F308:F436-F437-0.001),0,L437,TRUE))*(G308:G436+G438:G566))+G437*_xlfn.NORM.DIST(0,0,L437,TRUE)*2</f>
        <v>4.4253416372290273</v>
      </c>
      <c r="L437" s="3">
        <f t="shared" si="20"/>
        <v>3.0000000000000001E-3</v>
      </c>
    </row>
    <row r="438" spans="1:12" x14ac:dyDescent="0.4">
      <c r="A438" s="3">
        <v>-9.7000000000000031E-2</v>
      </c>
      <c r="B438" s="3">
        <v>2.6189844940452643E-2</v>
      </c>
      <c r="C438" s="4">
        <f t="shared" si="19"/>
        <v>1.1919497922322567E-3</v>
      </c>
      <c r="D438" s="5">
        <f t="shared" si="18"/>
        <v>1.1919497922322567E-3</v>
      </c>
      <c r="F438" s="3">
        <v>0.436</v>
      </c>
      <c r="G438" s="3">
        <v>3.2000401144204229</v>
      </c>
      <c r="H438" s="3" cm="1">
        <f t="array" ref="H438">SUM((_xlfn.NORM.DIST((F309:F437-F438),0,L438,TRUE)-_xlfn.NORM.DIST((F309:F437-F438-0.001),0,L438,TRUE))*(G309:G437+G439:G567))+G438*_xlfn.NORM.DIST(0,0,L438,TRUE)*2</f>
        <v>4.4001258367227392</v>
      </c>
      <c r="L438" s="3">
        <f t="shared" si="20"/>
        <v>3.0000000000000001E-3</v>
      </c>
    </row>
    <row r="439" spans="1:12" x14ac:dyDescent="0.4">
      <c r="A439" s="3">
        <v>-9.600000000000003E-2</v>
      </c>
      <c r="B439" s="3">
        <v>2.7428949703836768E-2</v>
      </c>
      <c r="C439" s="4">
        <f t="shared" si="19"/>
        <v>1.2391047633841246E-3</v>
      </c>
      <c r="D439" s="5">
        <f t="shared" si="18"/>
        <v>1.2391047633841246E-3</v>
      </c>
      <c r="F439" s="3">
        <v>0.437</v>
      </c>
      <c r="G439" s="3">
        <v>3.1822254613280183</v>
      </c>
      <c r="H439" s="3" cm="1">
        <f t="array" ref="H439">SUM((_xlfn.NORM.DIST((F310:F438-F439),0,L439,TRUE)-_xlfn.NORM.DIST((F310:F438-F439-0.001),0,L439,TRUE))*(G310:G438+G440:G568))+G439*_xlfn.NORM.DIST(0,0,L439,TRUE)*2</f>
        <v>4.375386561027331</v>
      </c>
      <c r="L439" s="3">
        <f t="shared" si="20"/>
        <v>3.0000000000000001E-3</v>
      </c>
    </row>
    <row r="440" spans="1:12" x14ac:dyDescent="0.4">
      <c r="A440" s="3">
        <v>-9.5000000000000029E-2</v>
      </c>
      <c r="B440" s="3">
        <v>2.8716559816001755E-2</v>
      </c>
      <c r="C440" s="4">
        <f t="shared" si="19"/>
        <v>1.2876101121649872E-3</v>
      </c>
      <c r="D440" s="5">
        <f t="shared" si="18"/>
        <v>1.2876101121649872E-3</v>
      </c>
      <c r="F440" s="3">
        <v>0.438</v>
      </c>
      <c r="G440" s="3">
        <v>3.164752374611429</v>
      </c>
      <c r="H440" s="3" cm="1">
        <f t="array" ref="H440">SUM((_xlfn.NORM.DIST((F311:F439-F440),0,L440,TRUE)-_xlfn.NORM.DIST((F311:F439-F440-0.001),0,L440,TRUE))*(G311:G439+G441:G569))+G440*_xlfn.NORM.DIST(0,0,L440,TRUE)*2</f>
        <v>4.3511199828556641</v>
      </c>
      <c r="L440" s="3">
        <f t="shared" si="20"/>
        <v>3.0000000000000001E-3</v>
      </c>
    </row>
    <row r="441" spans="1:12" x14ac:dyDescent="0.4">
      <c r="A441" s="3">
        <v>-9.4000000000000028E-2</v>
      </c>
      <c r="B441" s="3">
        <v>3.005403896119976E-2</v>
      </c>
      <c r="C441" s="4">
        <f t="shared" si="19"/>
        <v>1.3374791451980055E-3</v>
      </c>
      <c r="D441" s="5">
        <f t="shared" si="18"/>
        <v>1.3374791451980055E-3</v>
      </c>
      <c r="F441" s="3">
        <v>0.439</v>
      </c>
      <c r="G441" s="3">
        <v>3.1476111240983107</v>
      </c>
      <c r="H441" s="3" cm="1">
        <f t="array" ref="H441">SUM((_xlfn.NORM.DIST((F312:F440-F441),0,L441,TRUE)-_xlfn.NORM.DIST((F312:F440-F441-0.001),0,L441,TRUE))*(G312:G440+G442:G570))+G441*_xlfn.NORM.DIST(0,0,L441,TRUE)*2</f>
        <v>4.3273160712465124</v>
      </c>
      <c r="L441" s="3">
        <f t="shared" si="20"/>
        <v>3.0000000000000001E-3</v>
      </c>
    </row>
    <row r="442" spans="1:12" x14ac:dyDescent="0.4">
      <c r="A442" s="3">
        <v>-9.3000000000000027E-2</v>
      </c>
      <c r="B442" s="3">
        <v>3.1442762980752652E-2</v>
      </c>
      <c r="C442" s="4">
        <f t="shared" si="19"/>
        <v>1.3887240195528915E-3</v>
      </c>
      <c r="D442" s="5">
        <f t="shared" si="18"/>
        <v>1.3887240195528915E-3</v>
      </c>
      <c r="F442" s="3">
        <v>0.44</v>
      </c>
      <c r="G442" s="3">
        <v>3.1307923457188727</v>
      </c>
      <c r="H442" s="3" cm="1">
        <f t="array" ref="H442">SUM((_xlfn.NORM.DIST((F313:F441-F442),0,L442,TRUE)-_xlfn.NORM.DIST((F313:F441-F442-0.001),0,L442,TRUE))*(G313:G441+G443:G571))+G442*_xlfn.NORM.DIST(0,0,L442,TRUE)*2</f>
        <v>4.303962788038767</v>
      </c>
      <c r="L442" s="3">
        <f t="shared" si="20"/>
        <v>3.0000000000000001E-3</v>
      </c>
    </row>
    <row r="443" spans="1:12" x14ac:dyDescent="0.4">
      <c r="A443" s="3">
        <v>-9.2000000000000026E-2</v>
      </c>
      <c r="B443" s="3">
        <v>3.2884118659163845E-2</v>
      </c>
      <c r="C443" s="4">
        <f t="shared" si="19"/>
        <v>1.4413556784111936E-3</v>
      </c>
      <c r="D443" s="5">
        <f t="shared" si="18"/>
        <v>1.4413556784111936E-3</v>
      </c>
      <c r="F443" s="3">
        <v>0.441</v>
      </c>
      <c r="G443" s="3">
        <v>3.0999105356271994</v>
      </c>
      <c r="H443" s="3" cm="1">
        <f t="array" ref="H443">SUM((_xlfn.NORM.DIST((F314:F442-F443),0,L443,TRUE)-_xlfn.NORM.DIST((F314:F442-F443-0.001),0,L443,TRUE))*(G314:G442+G444:G572))+G443*_xlfn.NORM.DIST(0,0,L443,TRUE)*2</f>
        <v>4.2666712672936873</v>
      </c>
      <c r="L443" s="3">
        <f t="shared" si="20"/>
        <v>3.0000000000000001E-3</v>
      </c>
    </row>
    <row r="444" spans="1:12" x14ac:dyDescent="0.4">
      <c r="A444" s="3">
        <v>-9.1000000000000025E-2</v>
      </c>
      <c r="B444" s="3">
        <v>3.4379502445889942E-2</v>
      </c>
      <c r="C444" s="4">
        <f t="shared" si="19"/>
        <v>1.4953837867260969E-3</v>
      </c>
      <c r="D444" s="5">
        <f t="shared" si="18"/>
        <v>1.4953837867260969E-3</v>
      </c>
      <c r="F444" s="3">
        <v>0.442</v>
      </c>
      <c r="G444" s="3">
        <v>3.0624208562020474</v>
      </c>
      <c r="H444" s="3" cm="1">
        <f t="array" ref="H444">SUM((_xlfn.NORM.DIST((F315:F443-F444),0,L444,TRUE)-_xlfn.NORM.DIST((F315:F443-F444-0.001),0,L444,TRUE))*(G315:G443+G445:G573))+G444*_xlfn.NORM.DIST(0,0,L444,TRUE)*2</f>
        <v>4.2212118918983226</v>
      </c>
      <c r="L444" s="3">
        <f t="shared" si="20"/>
        <v>3.0000000000000001E-3</v>
      </c>
    </row>
    <row r="445" spans="1:12" x14ac:dyDescent="0.4">
      <c r="A445" s="3">
        <v>-9.0000000000000024E-2</v>
      </c>
      <c r="B445" s="3">
        <v>3.5930319112925754E-2</v>
      </c>
      <c r="C445" s="4">
        <f t="shared" si="19"/>
        <v>1.550816667035812E-3</v>
      </c>
      <c r="D445" s="5">
        <f t="shared" si="18"/>
        <v>1.550816667035812E-3</v>
      </c>
      <c r="F445" s="3">
        <v>0.443</v>
      </c>
      <c r="G445" s="3">
        <v>3.0262318318453532</v>
      </c>
      <c r="H445" s="3" cm="1">
        <f t="array" ref="H445">SUM((_xlfn.NORM.DIST((F316:F444-F445),0,L445,TRUE)-_xlfn.NORM.DIST((F316:F444-F445-0.001),0,L445,TRUE))*(G316:G444+G446:G574))+G445*_xlfn.NORM.DIST(0,0,L445,TRUE)*2</f>
        <v>4.1750136268161384</v>
      </c>
      <c r="L445" s="3">
        <f t="shared" si="20"/>
        <v>3.0000000000000001E-3</v>
      </c>
    </row>
    <row r="446" spans="1:12" x14ac:dyDescent="0.4">
      <c r="A446" s="3">
        <v>-8.9000000000000024E-2</v>
      </c>
      <c r="B446" s="3">
        <v>3.7537980348516763E-2</v>
      </c>
      <c r="C446" s="4">
        <f t="shared" si="19"/>
        <v>1.6076612355910083E-3</v>
      </c>
      <c r="D446" s="5">
        <f t="shared" si="18"/>
        <v>1.6076612355910083E-3</v>
      </c>
      <c r="F446" s="3">
        <v>0.44400000000000001</v>
      </c>
      <c r="G446" s="3">
        <v>2.9912769299150193</v>
      </c>
      <c r="H446" s="3" cm="1">
        <f t="array" ref="H446">SUM((_xlfn.NORM.DIST((F317:F445-F446),0,L446,TRUE)-_xlfn.NORM.DIST((F317:F445-F446-0.001),0,L446,TRUE))*(G317:G445+G447:G575))+G446*_xlfn.NORM.DIST(0,0,L446,TRUE)*2</f>
        <v>4.1286633044747223</v>
      </c>
      <c r="L446" s="3">
        <f t="shared" si="20"/>
        <v>3.0000000000000001E-3</v>
      </c>
    </row>
    <row r="447" spans="1:12" x14ac:dyDescent="0.4">
      <c r="A447" s="3">
        <v>-8.8000000000000023E-2</v>
      </c>
      <c r="B447" s="3">
        <v>3.9203903287482592E-2</v>
      </c>
      <c r="C447" s="4">
        <f t="shared" si="19"/>
        <v>1.6659229389658289E-3</v>
      </c>
      <c r="D447" s="5">
        <f t="shared" si="18"/>
        <v>1.6659229389658289E-3</v>
      </c>
      <c r="F447" s="3">
        <v>0.44500000000000001</v>
      </c>
      <c r="G447" s="3">
        <v>2.9574940795015836</v>
      </c>
      <c r="H447" s="3" cm="1">
        <f t="array" ref="H447">SUM((_xlfn.NORM.DIST((F318:F446-F447),0,L447,TRUE)-_xlfn.NORM.DIST((F318:F446-F447-0.001),0,L447,TRUE))*(G318:G446+G448:G576))+G447*_xlfn.NORM.DIST(0,0,L447,TRUE)*2</f>
        <v>4.0827109013248331</v>
      </c>
      <c r="L447" s="3">
        <f t="shared" si="20"/>
        <v>3.0000000000000001E-3</v>
      </c>
    </row>
    <row r="448" spans="1:12" x14ac:dyDescent="0.4">
      <c r="A448" s="3">
        <v>-8.7000000000000022E-2</v>
      </c>
      <c r="B448" s="3">
        <v>4.092950897880733E-2</v>
      </c>
      <c r="C448" s="4">
        <f t="shared" si="19"/>
        <v>1.7256056913247386E-3</v>
      </c>
      <c r="D448" s="5">
        <f t="shared" si="18"/>
        <v>1.7256056913247386E-3</v>
      </c>
      <c r="F448" s="3">
        <v>0.44600000000000001</v>
      </c>
      <c r="G448" s="3">
        <v>2.9248253035827663</v>
      </c>
      <c r="H448" s="3" cm="1">
        <f t="array" ref="H448">SUM((_xlfn.NORM.DIST((F319:F447-F448),0,L448,TRUE)-_xlfn.NORM.DIST((F319:F447-F448-0.001),0,L448,TRUE))*(G319:G447+G449:G577))+G448*_xlfn.NORM.DIST(0,0,L448,TRUE)*2</f>
        <v>4.0375815954106695</v>
      </c>
      <c r="L448" s="3">
        <f t="shared" si="20"/>
        <v>3.0000000000000001E-3</v>
      </c>
    </row>
    <row r="449" spans="1:12" x14ac:dyDescent="0.4">
      <c r="A449" s="3">
        <v>-8.6000000000000021E-2</v>
      </c>
      <c r="B449" s="3">
        <v>4.271622079132889E-2</v>
      </c>
      <c r="C449" s="4">
        <f t="shared" si="19"/>
        <v>1.7867118125215603E-3</v>
      </c>
      <c r="D449" s="5">
        <f t="shared" si="18"/>
        <v>1.7867118125215603E-3</v>
      </c>
      <c r="F449" s="3">
        <v>0.44700000000000001</v>
      </c>
      <c r="G449" s="3">
        <v>2.8932163869850402</v>
      </c>
      <c r="H449" s="3" cm="1">
        <f t="array" ref="H449">SUM((_xlfn.NORM.DIST((F320:F448-F449),0,L449,TRUE)-_xlfn.NORM.DIST((F320:F448-F449-0.001),0,L449,TRUE))*(G320:G448+G450:G578))+G449*_xlfn.NORM.DIST(0,0,L449,TRUE)*2</f>
        <v>3.993547985594569</v>
      </c>
      <c r="L449" s="3">
        <f t="shared" si="20"/>
        <v>3.0000000000000001E-3</v>
      </c>
    </row>
    <row r="450" spans="1:12" x14ac:dyDescent="0.4">
      <c r="A450" s="3">
        <v>-8.500000000000002E-2</v>
      </c>
      <c r="B450" s="3">
        <v>4.4565462758542999E-2</v>
      </c>
      <c r="C450" s="4">
        <f t="shared" si="19"/>
        <v>1.8492419672141089E-3</v>
      </c>
      <c r="D450" s="5">
        <f t="shared" ref="D450:D513" si="21">C450</f>
        <v>1.8492419672141089E-3</v>
      </c>
      <c r="F450" s="3">
        <v>0.44800000000000001</v>
      </c>
      <c r="G450" s="3">
        <v>2.8626165761426163</v>
      </c>
      <c r="H450" s="3" cm="1">
        <f t="array" ref="H450">SUM((_xlfn.NORM.DIST((F321:F449-F450),0,L450,TRUE)-_xlfn.NORM.DIST((F321:F449-F450-0.001),0,L450,TRUE))*(G321:G449+G451:G579))+G450*_xlfn.NORM.DIST(0,0,L450,TRUE)*2</f>
        <v>3.9507487914542723</v>
      </c>
      <c r="L450" s="3">
        <f t="shared" si="20"/>
        <v>3.0000000000000001E-3</v>
      </c>
    </row>
    <row r="451" spans="1:12" x14ac:dyDescent="0.4">
      <c r="A451" s="3">
        <v>-8.4000000000000019E-2</v>
      </c>
      <c r="B451" s="3">
        <v>4.6478657863719991E-2</v>
      </c>
      <c r="C451" s="4">
        <f t="shared" ref="C451:C514" si="22">B451-B450</f>
        <v>1.9131951051769916E-3</v>
      </c>
      <c r="D451" s="5">
        <f t="shared" si="21"/>
        <v>1.9131951051769916E-3</v>
      </c>
      <c r="F451" s="3">
        <v>0.44900000000000001</v>
      </c>
      <c r="G451" s="3">
        <v>2.8329783071630859</v>
      </c>
      <c r="H451" s="3" cm="1">
        <f t="array" ref="H451">SUM((_xlfn.NORM.DIST((F322:F450-F451),0,L451,TRUE)-_xlfn.NORM.DIST((F322:F450-F451-0.001),0,L451,TRUE))*(G322:G450+G452:G580))+G451*_xlfn.NORM.DIST(0,0,L451,TRUE)*2</f>
        <v>3.909228372869908</v>
      </c>
      <c r="L451" s="3">
        <f t="shared" si="20"/>
        <v>3.0000000000000001E-3</v>
      </c>
    </row>
    <row r="452" spans="1:12" x14ac:dyDescent="0.4">
      <c r="A452" s="3">
        <v>-8.3000000000000018E-2</v>
      </c>
      <c r="B452" s="3">
        <v>4.8457226266722747E-2</v>
      </c>
      <c r="C452" s="4">
        <f t="shared" si="22"/>
        <v>1.9785684030027562E-3</v>
      </c>
      <c r="D452" s="5">
        <f t="shared" si="21"/>
        <v>1.9785684030027562E-3</v>
      </c>
      <c r="F452" s="3">
        <v>0.45</v>
      </c>
      <c r="G452" s="3">
        <v>2.804256959126664</v>
      </c>
      <c r="H452" s="3" cm="1">
        <f t="array" ref="H452">SUM((_xlfn.NORM.DIST((F323:F451-F452),0,L452,TRUE)-_xlfn.NORM.DIST((F323:F451-F452-0.001),0,L452,TRUE))*(G323:G451+G453:G581))+G452*_xlfn.NORM.DIST(0,0,L452,TRUE)*2</f>
        <v>3.8689757687611461</v>
      </c>
      <c r="L452" s="3">
        <f t="shared" ref="L452:L515" si="23">L451</f>
        <v>3.0000000000000001E-3</v>
      </c>
    </row>
    <row r="453" spans="1:12" x14ac:dyDescent="0.4">
      <c r="A453" s="3">
        <v>-8.2000000000000017E-2</v>
      </c>
      <c r="B453" s="3">
        <v>5.0502583474103684E-2</v>
      </c>
      <c r="C453" s="4">
        <f t="shared" si="22"/>
        <v>2.0453572073809365E-3</v>
      </c>
      <c r="D453" s="5">
        <f t="shared" si="21"/>
        <v>2.0453572073809365E-3</v>
      </c>
      <c r="F453" s="3">
        <v>0.45100000000000001</v>
      </c>
      <c r="G453" s="3">
        <v>2.7764106299381401</v>
      </c>
      <c r="H453" s="3" cm="1">
        <f t="array" ref="H453">SUM((_xlfn.NORM.DIST((F324:F452-F453),0,L453,TRUE)-_xlfn.NORM.DIST((F324:F452-F453-0.001),0,L453,TRUE))*(G324:G452+G454:G582))+G453*_xlfn.NORM.DIST(0,0,L453,TRUE)*2</f>
        <v>3.829953041512633</v>
      </c>
      <c r="L453" s="3">
        <f t="shared" si="23"/>
        <v>3.0000000000000001E-3</v>
      </c>
    </row>
    <row r="454" spans="1:12" x14ac:dyDescent="0.4">
      <c r="A454" s="3">
        <v>-8.1000000000000016E-2</v>
      </c>
      <c r="B454" s="3">
        <v>5.2616138454252011E-2</v>
      </c>
      <c r="C454" s="4">
        <f t="shared" si="22"/>
        <v>2.1135549801483272E-3</v>
      </c>
      <c r="D454" s="5">
        <f t="shared" si="21"/>
        <v>2.1135549801483272E-3</v>
      </c>
      <c r="F454" s="3">
        <v>0.45200000000000001</v>
      </c>
      <c r="G454" s="3">
        <v>2.7493999323552325</v>
      </c>
      <c r="H454" s="3" cm="1">
        <f t="array" ref="H454">SUM((_xlfn.NORM.DIST((F325:F453-F454),0,L454,TRUE)-_xlfn.NORM.DIST((F325:F453-F454-0.001),0,L454,TRUE))*(G325:G453+G455:G583))+G454*_xlfn.NORM.DIST(0,0,L454,TRUE)*2</f>
        <v>3.7921119137110155</v>
      </c>
      <c r="L454" s="3">
        <f t="shared" si="23"/>
        <v>3.0000000000000001E-3</v>
      </c>
    </row>
    <row r="455" spans="1:12" x14ac:dyDescent="0.4">
      <c r="A455" s="3">
        <v>-8.0000000000000016E-2</v>
      </c>
      <c r="B455" s="3">
        <v>5.4799291699557967E-2</v>
      </c>
      <c r="C455" s="4">
        <f t="shared" si="22"/>
        <v>2.1831532453059563E-3</v>
      </c>
      <c r="D455" s="5">
        <f t="shared" si="21"/>
        <v>2.1831532453059563E-3</v>
      </c>
      <c r="F455" s="3">
        <v>0.45300000000000001</v>
      </c>
      <c r="G455" s="3">
        <v>2.7231878081100178</v>
      </c>
      <c r="H455" s="3" cm="1">
        <f t="array" ref="H455">SUM((_xlfn.NORM.DIST((F326:F454-F455),0,L455,TRUE)-_xlfn.NORM.DIST((F326:F454-F455-0.001),0,L455,TRUE))*(G326:G454+G456:G584))+G455*_xlfn.NORM.DIST(0,0,L455,TRUE)*2</f>
        <v>3.7554019311538624</v>
      </c>
      <c r="L455" s="3">
        <f t="shared" si="23"/>
        <v>3.0000000000000001E-3</v>
      </c>
    </row>
    <row r="456" spans="1:12" x14ac:dyDescent="0.4">
      <c r="A456" s="3">
        <v>-7.9000000000000015E-2</v>
      </c>
      <c r="B456" s="3">
        <v>5.7053433237754171E-2</v>
      </c>
      <c r="C456" s="4">
        <f t="shared" si="22"/>
        <v>2.2541415381962041E-3</v>
      </c>
      <c r="D456" s="5">
        <f t="shared" si="21"/>
        <v>2.2541415381962041E-3</v>
      </c>
      <c r="F456" s="3">
        <v>0.45400000000000001</v>
      </c>
      <c r="G456" s="3">
        <v>2.6977393582741764</v>
      </c>
      <c r="H456" s="3" cm="1">
        <f t="array" ref="H456">SUM((_xlfn.NORM.DIST((F327:F455-F456),0,L456,TRUE)-_xlfn.NORM.DIST((F327:F455-F456-0.001),0,L456,TRUE))*(G327:G455+G457:G585))+G456*_xlfn.NORM.DIST(0,0,L456,TRUE)*2</f>
        <v>3.7197738271151439</v>
      </c>
      <c r="L456" s="3">
        <f t="shared" si="23"/>
        <v>3.0000000000000001E-3</v>
      </c>
    </row>
    <row r="457" spans="1:12" x14ac:dyDescent="0.4">
      <c r="A457" s="3">
        <v>-7.8000000000000014E-2</v>
      </c>
      <c r="B457" s="3">
        <v>5.9379940594792985E-2</v>
      </c>
      <c r="C457" s="4">
        <f t="shared" si="22"/>
        <v>2.3265073570388137E-3</v>
      </c>
      <c r="D457" s="5">
        <f t="shared" si="21"/>
        <v>2.3265073570388137E-3</v>
      </c>
      <c r="F457" s="3">
        <v>0.45500000000000002</v>
      </c>
      <c r="G457" s="3">
        <v>2.6730216882413367</v>
      </c>
      <c r="H457" s="3" cm="1">
        <f t="array" ref="H457">SUM((_xlfn.NORM.DIST((F328:F456-F457),0,L457,TRUE)-_xlfn.NORM.DIST((F328:F456-F457-0.001),0,L457,TRUE))*(G328:G456+G458:G586))+G457*_xlfn.NORM.DIST(0,0,L457,TRUE)*2</f>
        <v>3.6851806408830265</v>
      </c>
      <c r="L457" s="3">
        <f t="shared" si="23"/>
        <v>3.0000000000000001E-3</v>
      </c>
    </row>
    <row r="458" spans="1:12" x14ac:dyDescent="0.4">
      <c r="A458" s="3">
        <v>-7.7000000000000013E-2</v>
      </c>
      <c r="B458" s="3">
        <v>6.1780176711811845E-2</v>
      </c>
      <c r="C458" s="4">
        <f t="shared" si="22"/>
        <v>2.4002361170188599E-3</v>
      </c>
      <c r="D458" s="5">
        <f t="shared" si="21"/>
        <v>2.4002361170188599E-3</v>
      </c>
      <c r="F458" s="3">
        <v>0.45600000000000002</v>
      </c>
      <c r="G458" s="3">
        <v>2.6490037658713828</v>
      </c>
      <c r="H458" s="3" cm="1">
        <f t="array" ref="H458">SUM((_xlfn.NORM.DIST((F329:F457-F458),0,L458,TRUE)-_xlfn.NORM.DIST((F329:F457-F458-0.001),0,L458,TRUE))*(G329:G457+G459:G587))+G458*_xlfn.NORM.DIST(0,0,L458,TRUE)*2</f>
        <v>3.6515779488227613</v>
      </c>
      <c r="L458" s="3">
        <f t="shared" si="23"/>
        <v>3.0000000000000001E-3</v>
      </c>
    </row>
    <row r="459" spans="1:12" x14ac:dyDescent="0.4">
      <c r="A459" s="3">
        <v>-7.6000000000000012E-2</v>
      </c>
      <c r="B459" s="3">
        <v>6.4255487818935766E-2</v>
      </c>
      <c r="C459" s="4">
        <f t="shared" si="22"/>
        <v>2.4753111071239217E-3</v>
      </c>
      <c r="D459" s="5">
        <f t="shared" si="21"/>
        <v>2.4753111071239217E-3</v>
      </c>
      <c r="F459" s="3">
        <v>0.45700000000000002</v>
      </c>
      <c r="G459" s="3">
        <v>2.6256562915176698</v>
      </c>
      <c r="H459" s="3" cm="1">
        <f t="array" ref="H459">SUM((_xlfn.NORM.DIST((F330:F458-F459),0,L459,TRUE)-_xlfn.NORM.DIST((F330:F458-F459-0.001),0,L459,TRUE))*(G330:G458+G460:G588))+G459*_xlfn.NORM.DIST(0,0,L459,TRUE)*2</f>
        <v>3.6189237997595631</v>
      </c>
      <c r="L459" s="3">
        <f t="shared" si="23"/>
        <v>3.0000000000000001E-3</v>
      </c>
    </row>
    <row r="460" spans="1:12" x14ac:dyDescent="0.4">
      <c r="A460" s="3">
        <v>-7.5000000000000011E-2</v>
      </c>
      <c r="B460" s="3">
        <v>6.6807201268858057E-2</v>
      </c>
      <c r="C460" s="4">
        <f t="shared" si="22"/>
        <v>2.551713449922291E-3</v>
      </c>
      <c r="D460" s="5">
        <f t="shared" si="21"/>
        <v>2.551713449922291E-3</v>
      </c>
      <c r="F460" s="3">
        <v>0.45800000000000002</v>
      </c>
      <c r="G460" s="3">
        <v>2.6029515787856932</v>
      </c>
      <c r="H460" s="3" cm="1">
        <f t="array" ref="H460">SUM((_xlfn.NORM.DIST((F331:F459-F460),0,L460,TRUE)-_xlfn.NORM.DIST((F331:F459-F460-0.001),0,L460,TRUE))*(G331:G459+G461:G589))+G460*_xlfn.NORM.DIST(0,0,L460,TRUE)*2</f>
        <v>3.5871785719682707</v>
      </c>
      <c r="L460" s="3">
        <f t="shared" si="23"/>
        <v>3.0000000000000001E-3</v>
      </c>
    </row>
    <row r="461" spans="1:12" x14ac:dyDescent="0.4">
      <c r="A461" s="3">
        <v>-7.400000000000001E-2</v>
      </c>
      <c r="B461" s="3">
        <v>6.9436623333331657E-2</v>
      </c>
      <c r="C461" s="4">
        <f t="shared" si="22"/>
        <v>2.6294220644735994E-3</v>
      </c>
      <c r="D461" s="5">
        <f t="shared" si="21"/>
        <v>2.6294220644735994E-3</v>
      </c>
      <c r="F461" s="3">
        <v>0.45900000000000002</v>
      </c>
      <c r="G461" s="3">
        <v>2.5808634450084078</v>
      </c>
      <c r="H461" s="3" cm="1">
        <f t="array" ref="H461">SUM((_xlfn.NORM.DIST((F332:F460-F461),0,L461,TRUE)-_xlfn.NORM.DIST((F332:F460-F461-0.001),0,L461,TRUE))*(G332:G460+G462:G590))+G461*_xlfn.NORM.DIST(0,0,L461,TRUE)*2</f>
        <v>3.5563048196888269</v>
      </c>
      <c r="L461" s="3">
        <f t="shared" si="23"/>
        <v>3.0000000000000001E-3</v>
      </c>
    </row>
    <row r="462" spans="1:12" x14ac:dyDescent="0.4">
      <c r="A462" s="3">
        <v>-7.3000000000000009E-2</v>
      </c>
      <c r="B462" s="3">
        <v>7.214503696589375E-2</v>
      </c>
      <c r="C462" s="4">
        <f t="shared" si="22"/>
        <v>2.7084136325620928E-3</v>
      </c>
      <c r="D462" s="5">
        <f t="shared" si="21"/>
        <v>2.7084136325620928E-3</v>
      </c>
      <c r="F462" s="3">
        <v>0.46</v>
      </c>
      <c r="G462" s="3">
        <v>2.5592016838461293</v>
      </c>
      <c r="H462" s="3" cm="1">
        <f t="array" ref="H462">SUM((_xlfn.NORM.DIST((F333:F461-F462),0,L462,TRUE)-_xlfn.NORM.DIST((F333:F461-F462-0.001),0,L462,TRUE))*(G333:G461+G463:G591))+G462*_xlfn.NORM.DIST(0,0,L462,TRUE)*2</f>
        <v>3.5261017002448853</v>
      </c>
      <c r="L462" s="3">
        <f t="shared" si="23"/>
        <v>3.0000000000000001E-3</v>
      </c>
    </row>
    <row r="463" spans="1:12" x14ac:dyDescent="0.4">
      <c r="A463" s="3">
        <v>-7.2000000000000008E-2</v>
      </c>
      <c r="B463" s="3">
        <v>7.4933699534326992E-2</v>
      </c>
      <c r="C463" s="4">
        <f t="shared" si="22"/>
        <v>2.7886625684332422E-3</v>
      </c>
      <c r="D463" s="5">
        <f t="shared" si="21"/>
        <v>2.7886625684332422E-3</v>
      </c>
      <c r="F463" s="3">
        <v>0.46100000000000002</v>
      </c>
      <c r="G463" s="3">
        <v>2.537286180905058</v>
      </c>
      <c r="H463" s="3" cm="1">
        <f t="array" ref="H463">SUM((_xlfn.NORM.DIST((F334:F462-F463),0,L463,TRUE)-_xlfn.NORM.DIST((F334:F462-F463-0.001),0,L463,TRUE))*(G334:G462+G464:G592))+G463*_xlfn.NORM.DIST(0,0,L463,TRUE)*2</f>
        <v>3.4958597004053242</v>
      </c>
      <c r="L463" s="3">
        <f t="shared" si="23"/>
        <v>3.0000000000000001E-3</v>
      </c>
    </row>
    <row r="464" spans="1:12" x14ac:dyDescent="0.4">
      <c r="A464" s="3">
        <v>-7.1000000000000008E-2</v>
      </c>
      <c r="B464" s="3">
        <v>7.7803840526546347E-2</v>
      </c>
      <c r="C464" s="4">
        <f t="shared" si="22"/>
        <v>2.8701409922193555E-3</v>
      </c>
      <c r="D464" s="5">
        <f t="shared" si="21"/>
        <v>2.8701409922193555E-3</v>
      </c>
      <c r="F464" s="3">
        <v>0.46200000000000002</v>
      </c>
      <c r="G464" s="3">
        <v>2.5159589373407916</v>
      </c>
      <c r="H464" s="3" cm="1">
        <f t="array" ref="H464">SUM((_xlfn.NORM.DIST((F335:F463-F464),0,L464,TRUE)-_xlfn.NORM.DIST((F335:F463-F464-0.001),0,L464,TRUE))*(G335:G463+G465:G593))+G464*_xlfn.NORM.DIST(0,0,L464,TRUE)*2</f>
        <v>3.4663189963345733</v>
      </c>
      <c r="L464" s="3">
        <f t="shared" si="23"/>
        <v>3.0000000000000001E-3</v>
      </c>
    </row>
    <row r="465" spans="1:12" x14ac:dyDescent="0.4">
      <c r="A465" s="3">
        <v>-7.0000000000000007E-2</v>
      </c>
      <c r="B465" s="3">
        <v>8.0756659233771025E-2</v>
      </c>
      <c r="C465" s="4">
        <f t="shared" si="22"/>
        <v>2.9528187072246775E-3</v>
      </c>
      <c r="D465" s="5">
        <f t="shared" si="21"/>
        <v>2.9528187072246775E-3</v>
      </c>
      <c r="F465" s="3">
        <v>0.46300000000000002</v>
      </c>
      <c r="G465" s="3">
        <v>2.4951965815976895</v>
      </c>
      <c r="H465" s="3" cm="1">
        <f t="array" ref="H465">SUM((_xlfn.NORM.DIST((F336:F464-F465),0,L465,TRUE)-_xlfn.NORM.DIST((F336:F464-F465-0.001),0,L465,TRUE))*(G336:G464+G466:G594))+G465*_xlfn.NORM.DIST(0,0,L465,TRUE)*2</f>
        <v>3.437475514253105</v>
      </c>
      <c r="L465" s="3">
        <f t="shared" si="23"/>
        <v>3.0000000000000001E-3</v>
      </c>
    </row>
    <row r="466" spans="1:12" x14ac:dyDescent="0.4">
      <c r="A466" s="3">
        <v>-6.9000000000000006E-2</v>
      </c>
      <c r="B466" s="3">
        <v>8.3793322415014249E-2</v>
      </c>
      <c r="C466" s="4">
        <f t="shared" si="22"/>
        <v>3.0366631812432238E-3</v>
      </c>
      <c r="D466" s="5">
        <f t="shared" si="21"/>
        <v>3.0366631812432238E-3</v>
      </c>
      <c r="F466" s="3">
        <v>0.46400000000000002</v>
      </c>
      <c r="G466" s="3">
        <v>2.4722169323099132</v>
      </c>
      <c r="H466" s="3" cm="1">
        <f t="array" ref="H466">SUM((_xlfn.NORM.DIST((F337:F465-F466),0,L466,TRUE)-_xlfn.NORM.DIST((F337:F465-F466-0.001),0,L466,TRUE))*(G337:G465+G467:G595))+G466*_xlfn.NORM.DIST(0,0,L466,TRUE)*2</f>
        <v>3.4065679103417512</v>
      </c>
      <c r="L466" s="3">
        <f t="shared" si="23"/>
        <v>3.0000000000000001E-3</v>
      </c>
    </row>
    <row r="467" spans="1:12" x14ac:dyDescent="0.4">
      <c r="A467" s="3">
        <v>-6.8000000000000005E-2</v>
      </c>
      <c r="B467" s="3">
        <v>8.6914961947084993E-2</v>
      </c>
      <c r="C467" s="4">
        <f t="shared" si="22"/>
        <v>3.1216395320707441E-3</v>
      </c>
      <c r="D467" s="5">
        <f t="shared" si="21"/>
        <v>3.1216395320707441E-3</v>
      </c>
      <c r="F467" s="3">
        <v>0.46500000000000002</v>
      </c>
      <c r="G467" s="3">
        <v>2.4464425327944777</v>
      </c>
      <c r="H467" s="3" cm="1">
        <f t="array" ref="H467">SUM((_xlfn.NORM.DIST((F338:F466-F467),0,L467,TRUE)-_xlfn.NORM.DIST((F338:F466-F467-0.001),0,L467,TRUE))*(G338:G466+G468:G596))+G467*_xlfn.NORM.DIST(0,0,L467,TRUE)*2</f>
        <v>3.3727130359314925</v>
      </c>
      <c r="L467" s="3">
        <f t="shared" si="23"/>
        <v>3.0000000000000001E-3</v>
      </c>
    </row>
    <row r="468" spans="1:12" x14ac:dyDescent="0.4">
      <c r="A468" s="3">
        <v>-6.7000000000000004E-2</v>
      </c>
      <c r="B468" s="3">
        <v>9.0122672464452463E-2</v>
      </c>
      <c r="C468" s="4">
        <f t="shared" si="22"/>
        <v>3.2077105173674708E-3</v>
      </c>
      <c r="D468" s="5">
        <f t="shared" si="21"/>
        <v>3.2077105173674708E-3</v>
      </c>
      <c r="F468" s="3">
        <v>0.46600000000000003</v>
      </c>
      <c r="G468" s="3">
        <v>2.4215303753500503</v>
      </c>
      <c r="H468" s="3" cm="1">
        <f t="array" ref="H468">SUM((_xlfn.NORM.DIST((F339:F467-F468),0,L468,TRUE)-_xlfn.NORM.DIST((F339:F467-F468-0.001),0,L468,TRUE))*(G339:G467+G469:G597))+G468*_xlfn.NORM.DIST(0,0,L468,TRUE)*2</f>
        <v>3.3392545057791549</v>
      </c>
      <c r="L468" s="3">
        <f t="shared" si="23"/>
        <v>3.0000000000000001E-3</v>
      </c>
    </row>
    <row r="469" spans="1:12" x14ac:dyDescent="0.4">
      <c r="A469" s="3">
        <v>-6.6000000000000003E-2</v>
      </c>
      <c r="B469" s="3">
        <v>9.3417508993471773E-2</v>
      </c>
      <c r="C469" s="4">
        <f t="shared" si="22"/>
        <v>3.2948365290193099E-3</v>
      </c>
      <c r="D469" s="5">
        <f t="shared" si="21"/>
        <v>3.2948365290193099E-3</v>
      </c>
      <c r="F469" s="3">
        <v>0.46700000000000003</v>
      </c>
      <c r="G469" s="3">
        <v>2.3974379043601024</v>
      </c>
      <c r="H469" s="3" cm="1">
        <f t="array" ref="H469">SUM((_xlfn.NORM.DIST((F340:F468-F469),0,L469,TRUE)-_xlfn.NORM.DIST((F340:F468-F469-0.001),0,L469,TRUE))*(G340:G468+G470:G598))+G469*_xlfn.NORM.DIST(0,0,L469,TRUE)*2</f>
        <v>3.306345646894961</v>
      </c>
      <c r="L469" s="3">
        <f t="shared" si="23"/>
        <v>3.0000000000000001E-3</v>
      </c>
    </row>
    <row r="470" spans="1:12" x14ac:dyDescent="0.4">
      <c r="A470" s="3">
        <v>-6.5000000000000002E-2</v>
      </c>
      <c r="B470" s="3">
        <v>9.6800484585610316E-2</v>
      </c>
      <c r="C470" s="4">
        <f t="shared" si="22"/>
        <v>3.3829755921385429E-3</v>
      </c>
      <c r="D470" s="5">
        <f t="shared" si="21"/>
        <v>3.3829755921385429E-3</v>
      </c>
      <c r="F470" s="3">
        <v>0.46800000000000003</v>
      </c>
      <c r="G470" s="3">
        <v>2.3741253193032352</v>
      </c>
      <c r="H470" s="3" cm="1">
        <f t="array" ref="H470">SUM((_xlfn.NORM.DIST((F341:F469-F470),0,L470,TRUE)-_xlfn.NORM.DIST((F341:F469-F470-0.001),0,L470,TRUE))*(G341:G469+G471:G599))+G470*_xlfn.NORM.DIST(0,0,L470,TRUE)*2</f>
        <v>3.2741308207939395</v>
      </c>
      <c r="L470" s="3">
        <f t="shared" si="23"/>
        <v>3.0000000000000001E-3</v>
      </c>
    </row>
    <row r="471" spans="1:12" x14ac:dyDescent="0.4">
      <c r="A471" s="3">
        <v>-6.4000000000000001E-2</v>
      </c>
      <c r="B471" s="3">
        <v>0.10027256795444205</v>
      </c>
      <c r="C471" s="4">
        <f t="shared" si="22"/>
        <v>3.4720833688317299E-3</v>
      </c>
      <c r="D471" s="5">
        <f t="shared" si="21"/>
        <v>3.4720833688317299E-3</v>
      </c>
      <c r="F471" s="3">
        <v>0.46900000000000003</v>
      </c>
      <c r="G471" s="3">
        <v>2.3515553553454613</v>
      </c>
      <c r="H471" s="3" cm="1">
        <f t="array" ref="H471">SUM((_xlfn.NORM.DIST((F342:F470-F471),0,L471,TRUE)-_xlfn.NORM.DIST((F342:F470-F471-0.001),0,L471,TRUE))*(G342:G470+G472:G600))+G471*_xlfn.NORM.DIST(0,0,L471,TRUE)*2</f>
        <v>3.2427188803041256</v>
      </c>
      <c r="L471" s="3">
        <f t="shared" si="23"/>
        <v>3.0000000000000001E-3</v>
      </c>
    </row>
    <row r="472" spans="1:12" x14ac:dyDescent="0.4">
      <c r="A472" s="3">
        <v>-6.3E-2</v>
      </c>
      <c r="B472" s="3">
        <v>0.10383468112130037</v>
      </c>
      <c r="C472" s="4">
        <f t="shared" si="22"/>
        <v>3.5621131668583245E-3</v>
      </c>
      <c r="D472" s="5">
        <f t="shared" si="21"/>
        <v>3.5621131668583245E-3</v>
      </c>
      <c r="F472" s="3">
        <v>0.47000000000000003</v>
      </c>
      <c r="G472" s="3">
        <v>2.3296930845689818</v>
      </c>
      <c r="H472" s="3" cm="1">
        <f t="array" ref="H472">SUM((_xlfn.NORM.DIST((F343:F471-F472),0,L472,TRUE)-_xlfn.NORM.DIST((F343:F471-F472-0.001),0,L472,TRUE))*(G343:G471+G473:G601))+G472*_xlfn.NORM.DIST(0,0,L472,TRUE)*2</f>
        <v>3.2121735385981456</v>
      </c>
      <c r="L472" s="3">
        <f t="shared" si="23"/>
        <v>3.0000000000000001E-3</v>
      </c>
    </row>
    <row r="473" spans="1:12" x14ac:dyDescent="0.4">
      <c r="A473" s="3">
        <v>-6.2E-2</v>
      </c>
      <c r="B473" s="3">
        <v>0.1074876970745869</v>
      </c>
      <c r="C473" s="4">
        <f t="shared" si="22"/>
        <v>3.6530159532865286E-3</v>
      </c>
      <c r="D473" s="5">
        <f t="shared" si="21"/>
        <v>3.6530159532865286E-3</v>
      </c>
      <c r="F473" s="3">
        <v>0.47100000000000003</v>
      </c>
      <c r="G473" s="3">
        <v>2.3085057356137555</v>
      </c>
      <c r="H473" s="3" cm="1">
        <f t="array" ref="H473">SUM((_xlfn.NORM.DIST((F344:F472-F473),0,L473,TRUE)-_xlfn.NORM.DIST((F344:F472-F473-0.001),0,L473,TRUE))*(G344:G472+G474:G602))+G473*_xlfn.NORM.DIST(0,0,L473,TRUE)*2</f>
        <v>3.1825178529282931</v>
      </c>
      <c r="L473" s="3">
        <f t="shared" si="23"/>
        <v>3.0000000000000001E-3</v>
      </c>
    </row>
    <row r="474" spans="1:12" x14ac:dyDescent="0.4">
      <c r="A474" s="3">
        <v>-6.0999999999999999E-2</v>
      </c>
      <c r="B474" s="3">
        <v>0.11123243744783459</v>
      </c>
      <c r="C474" s="4">
        <f t="shared" si="22"/>
        <v>3.744740373247693E-3</v>
      </c>
      <c r="D474" s="5">
        <f t="shared" si="21"/>
        <v>3.744740373247693E-3</v>
      </c>
      <c r="F474" s="3">
        <v>0.47200000000000003</v>
      </c>
      <c r="G474" s="3">
        <v>2.2879625297654536</v>
      </c>
      <c r="H474" s="3" cm="1">
        <f t="array" ref="H474">SUM((_xlfn.NORM.DIST((F345:F473-F474),0,L474,TRUE)-_xlfn.NORM.DIST((F345:F473-F474-0.001),0,L474,TRUE))*(G345:G473+G475:G603))+G474*_xlfn.NORM.DIST(0,0,L474,TRUE)*2</f>
        <v>3.15374574212633</v>
      </c>
      <c r="L474" s="3">
        <f t="shared" si="23"/>
        <v>3.0000000000000001E-3</v>
      </c>
    </row>
    <row r="475" spans="1:12" x14ac:dyDescent="0.4">
      <c r="A475" s="3">
        <v>-0.06</v>
      </c>
      <c r="B475" s="3">
        <v>0.11506967022170828</v>
      </c>
      <c r="C475" s="4">
        <f t="shared" si="22"/>
        <v>3.8372327738736833E-3</v>
      </c>
      <c r="D475" s="5">
        <f t="shared" si="21"/>
        <v>3.8372327738736833E-3</v>
      </c>
      <c r="F475" s="3">
        <v>0.47300000000000003</v>
      </c>
      <c r="G475" s="3">
        <v>2.268034531771578</v>
      </c>
      <c r="H475" s="3" cm="1">
        <f t="array" ref="H475">SUM((_xlfn.NORM.DIST((F346:F474-F475),0,L475,TRUE)-_xlfn.NORM.DIST((F346:F474-F475-0.001),0,L475,TRUE))*(G346:G474+G476:G604))+G475*_xlfn.NORM.DIST(0,0,L475,TRUE)*2</f>
        <v>3.1258340199556347</v>
      </c>
      <c r="L475" s="3">
        <f t="shared" si="23"/>
        <v>3.0000000000000001E-3</v>
      </c>
    </row>
    <row r="476" spans="1:12" x14ac:dyDescent="0.4">
      <c r="A476" s="3">
        <v>-5.8999999999999997E-2</v>
      </c>
      <c r="B476" s="3">
        <v>0.11900010745520068</v>
      </c>
      <c r="C476" s="4">
        <f t="shared" si="22"/>
        <v>3.9304372334924009E-3</v>
      </c>
      <c r="D476" s="5">
        <f t="shared" si="21"/>
        <v>3.9304372334924009E-3</v>
      </c>
      <c r="F476" s="3">
        <v>0.47400000000000003</v>
      </c>
      <c r="G476" s="3">
        <v>2.2486945138619707</v>
      </c>
      <c r="H476" s="3" cm="1">
        <f t="array" ref="H476">SUM((_xlfn.NORM.DIST((F347:F475-F476),0,L476,TRUE)-_xlfn.NORM.DIST((F347:F475-F476-0.001),0,L476,TRUE))*(G347:G475+G477:G605))+G476*_xlfn.NORM.DIST(0,0,L476,TRUE)*2</f>
        <v>3.0987514586837017</v>
      </c>
      <c r="L476" s="3">
        <f t="shared" si="23"/>
        <v>3.0000000000000001E-3</v>
      </c>
    </row>
    <row r="477" spans="1:12" x14ac:dyDescent="0.4">
      <c r="A477" s="3">
        <v>-5.7999999999999996E-2</v>
      </c>
      <c r="B477" s="3">
        <v>0.12302440305134338</v>
      </c>
      <c r="C477" s="4">
        <f t="shared" si="22"/>
        <v>4.0242955961427018E-3</v>
      </c>
      <c r="D477" s="5">
        <f t="shared" si="21"/>
        <v>4.0242955961427018E-3</v>
      </c>
      <c r="F477" s="3">
        <v>0.47500000000000003</v>
      </c>
      <c r="G477" s="3">
        <v>2.2299168316308493</v>
      </c>
      <c r="H477" s="3" cm="1">
        <f t="array" ref="H477">SUM((_xlfn.NORM.DIST((F348:F476-F477),0,L477,TRUE)-_xlfn.NORM.DIST((F348:F476-F477-0.001),0,L477,TRUE))*(G348:G476+G478:G606))+G477*_xlfn.NORM.DIST(0,0,L477,TRUE)*2</f>
        <v>3.0724642556583399</v>
      </c>
      <c r="L477" s="3">
        <f t="shared" si="23"/>
        <v>3.0000000000000001E-3</v>
      </c>
    </row>
    <row r="478" spans="1:12" x14ac:dyDescent="0.4">
      <c r="A478" s="3">
        <v>-5.6999999999999995E-2</v>
      </c>
      <c r="B478" s="3">
        <v>0.12714315056279824</v>
      </c>
      <c r="C478" s="4">
        <f t="shared" si="22"/>
        <v>4.1187475114548566E-3</v>
      </c>
      <c r="D478" s="5">
        <f t="shared" si="21"/>
        <v>4.1187475114548566E-3</v>
      </c>
      <c r="F478" s="3">
        <v>0.47600000000000003</v>
      </c>
      <c r="G478" s="3">
        <v>2.1954069990431102</v>
      </c>
      <c r="H478" s="3" cm="1">
        <f t="array" ref="H478">SUM((_xlfn.NORM.DIST((F349:F477-F478),0,L478,TRUE)-_xlfn.NORM.DIST((F349:F477-F478-0.001),0,L478,TRUE))*(G349:G477+G479:G607))+G478*_xlfn.NORM.DIST(0,0,L478,TRUE)*2</f>
        <v>3.0306684496507121</v>
      </c>
      <c r="L478" s="3">
        <f t="shared" si="23"/>
        <v>3.0000000000000001E-3</v>
      </c>
    </row>
    <row r="479" spans="1:12" x14ac:dyDescent="0.4">
      <c r="A479" s="3">
        <v>-5.5999999999999994E-2</v>
      </c>
      <c r="B479" s="3">
        <v>0.13135688104273072</v>
      </c>
      <c r="C479" s="4">
        <f t="shared" si="22"/>
        <v>4.2137304799324815E-3</v>
      </c>
      <c r="D479" s="5">
        <f t="shared" si="21"/>
        <v>4.2137304799324815E-3</v>
      </c>
      <c r="F479" s="3">
        <v>0.47700000000000004</v>
      </c>
      <c r="G479" s="3">
        <v>2.1240161485901941</v>
      </c>
      <c r="H479" s="3" cm="1">
        <f t="array" ref="H479">SUM((_xlfn.NORM.DIST((F350:F478-F479),0,L479,TRUE)-_xlfn.NORM.DIST((F350:F478-F479-0.001),0,L479,TRUE))*(G350:G478+G480:G608))+G479*_xlfn.NORM.DIST(0,0,L479,TRUE)*2</f>
        <v>2.9503028110436453</v>
      </c>
      <c r="L479" s="3">
        <f t="shared" si="23"/>
        <v>3.0000000000000001E-3</v>
      </c>
    </row>
    <row r="480" spans="1:12" x14ac:dyDescent="0.4">
      <c r="A480" s="3">
        <v>-5.4999999999999993E-2</v>
      </c>
      <c r="B480" s="3">
        <v>0.13566606094638267</v>
      </c>
      <c r="C480" s="4">
        <f t="shared" si="22"/>
        <v>4.3091799036519551E-3</v>
      </c>
      <c r="D480" s="5">
        <f t="shared" si="21"/>
        <v>4.3091799036519551E-3</v>
      </c>
      <c r="F480" s="3">
        <v>0.47800000000000004</v>
      </c>
      <c r="G480" s="3">
        <v>2.0582439216593498</v>
      </c>
      <c r="H480" s="3" cm="1">
        <f t="array" ref="H480">SUM((_xlfn.NORM.DIST((F351:F479-F480),0,L480,TRUE)-_xlfn.NORM.DIST((F351:F479-F480-0.001),0,L480,TRUE))*(G351:G479+G481:G609))+G480*_xlfn.NORM.DIST(0,0,L480,TRUE)*2</f>
        <v>2.869860330725539</v>
      </c>
      <c r="L480" s="3">
        <f t="shared" si="23"/>
        <v>3.0000000000000001E-3</v>
      </c>
    </row>
    <row r="481" spans="1:12" x14ac:dyDescent="0.4">
      <c r="A481" s="3">
        <v>-5.3999999999999992E-2</v>
      </c>
      <c r="B481" s="3">
        <v>0.14007109008876903</v>
      </c>
      <c r="C481" s="4">
        <f t="shared" si="22"/>
        <v>4.4050291423863575E-3</v>
      </c>
      <c r="D481" s="5">
        <f t="shared" si="21"/>
        <v>4.4050291423863575E-3</v>
      </c>
      <c r="F481" s="3">
        <v>0.47900000000000004</v>
      </c>
      <c r="G481" s="3">
        <v>1.9974521337236766</v>
      </c>
      <c r="H481" s="3" cm="1">
        <f t="array" ref="H481">SUM((_xlfn.NORM.DIST((F352:F480-F481),0,L481,TRUE)-_xlfn.NORM.DIST((F352:F480-F481-0.001),0,L481,TRUE))*(G352:G480+G482:G610))+G481*_xlfn.NORM.DIST(0,0,L481,TRUE)*2</f>
        <v>2.7905871247700365</v>
      </c>
      <c r="L481" s="3">
        <f t="shared" si="23"/>
        <v>3.0000000000000001E-3</v>
      </c>
    </row>
    <row r="482" spans="1:12" x14ac:dyDescent="0.4">
      <c r="A482" s="3">
        <v>-5.3000000000000047E-2</v>
      </c>
      <c r="B482" s="3">
        <v>0.14457229966390944</v>
      </c>
      <c r="C482" s="4">
        <f t="shared" si="22"/>
        <v>4.5012095751404135E-3</v>
      </c>
      <c r="D482" s="5">
        <f t="shared" si="21"/>
        <v>4.5012095751404135E-3</v>
      </c>
      <c r="F482" s="3">
        <v>0.48</v>
      </c>
      <c r="G482" s="3">
        <v>1.94109572434605</v>
      </c>
      <c r="H482" s="3" cm="1">
        <f t="array" ref="H482">SUM((_xlfn.NORM.DIST((F353:F481-F482),0,L482,TRUE)-_xlfn.NORM.DIST((F353:F481-F482-0.001),0,L482,TRUE))*(G353:G481+G483:G611))+G482*_xlfn.NORM.DIST(0,0,L482,TRUE)*2</f>
        <v>2.7137163780270113</v>
      </c>
      <c r="L482" s="3">
        <f t="shared" si="23"/>
        <v>3.0000000000000001E-3</v>
      </c>
    </row>
    <row r="483" spans="1:12" x14ac:dyDescent="0.4">
      <c r="A483" s="3">
        <v>-5.2000000000000046E-2</v>
      </c>
      <c r="B483" s="3">
        <v>0.14916995033098115</v>
      </c>
      <c r="C483" s="4">
        <f t="shared" si="22"/>
        <v>4.5976506670717121E-3</v>
      </c>
      <c r="D483" s="5">
        <f t="shared" si="21"/>
        <v>4.5976506670717121E-3</v>
      </c>
      <c r="F483" s="3">
        <v>0.48099999999999998</v>
      </c>
      <c r="G483" s="3">
        <v>1.8887063691454078</v>
      </c>
      <c r="H483" s="3" cm="1">
        <f t="array" ref="H483">SUM((_xlfn.NORM.DIST((F354:F482-F483),0,L483,TRUE)-_xlfn.NORM.DIST((F354:F482-F483-0.001),0,L483,TRUE))*(G354:G482+G484:G612))+G483*_xlfn.NORM.DIST(0,0,L483,TRUE)*2</f>
        <v>2.6401955556642589</v>
      </c>
      <c r="L483" s="3">
        <f t="shared" si="23"/>
        <v>3.0000000000000001E-3</v>
      </c>
    </row>
    <row r="484" spans="1:12" x14ac:dyDescent="0.4">
      <c r="A484" s="3">
        <v>-5.1000000000000045E-2</v>
      </c>
      <c r="B484" s="3">
        <v>0.15386423037273461</v>
      </c>
      <c r="C484" s="4">
        <f t="shared" si="22"/>
        <v>4.6942800417534569E-3</v>
      </c>
      <c r="D484" s="5">
        <f t="shared" si="21"/>
        <v>4.6942800417534569E-3</v>
      </c>
      <c r="F484" s="3">
        <v>0.48199999999999998</v>
      </c>
      <c r="G484" s="3">
        <v>1.8398794348686967</v>
      </c>
      <c r="H484" s="3" cm="1">
        <f t="array" ref="H484">SUM((_xlfn.NORM.DIST((F355:F483-F484),0,L484,TRUE)-_xlfn.NORM.DIST((F355:F483-F484-0.001),0,L484,TRUE))*(G355:G483+G485:G613))+G484*_xlfn.NORM.DIST(0,0,L484,TRUE)*2</f>
        <v>2.5705758376863375</v>
      </c>
      <c r="L484" s="3">
        <f t="shared" si="23"/>
        <v>3.0000000000000001E-3</v>
      </c>
    </row>
    <row r="485" spans="1:12" x14ac:dyDescent="0.4">
      <c r="A485" s="3">
        <v>-5.0000000000000044E-2</v>
      </c>
      <c r="B485" s="3">
        <v>0.1586552539314568</v>
      </c>
      <c r="C485" s="4">
        <f t="shared" si="22"/>
        <v>4.791023558722185E-3</v>
      </c>
      <c r="D485" s="5">
        <f t="shared" si="21"/>
        <v>4.791023558722185E-3</v>
      </c>
      <c r="F485" s="3">
        <v>0.48299999999999998</v>
      </c>
      <c r="G485" s="3">
        <v>1.7942635080864695</v>
      </c>
      <c r="H485" s="3" cm="1">
        <f t="array" ref="H485">SUM((_xlfn.NORM.DIST((F356:F484-F485),0,L485,TRUE)-_xlfn.NORM.DIST((F356:F484-F485-0.001),0,L485,TRUE))*(G356:G484+G486:G614))+G485*_xlfn.NORM.DIST(0,0,L485,TRUE)*2</f>
        <v>2.5050430923056788</v>
      </c>
      <c r="L485" s="3">
        <f t="shared" si="23"/>
        <v>3.0000000000000001E-3</v>
      </c>
    </row>
    <row r="486" spans="1:12" x14ac:dyDescent="0.4">
      <c r="A486" s="3">
        <v>-4.9000000000000044E-2</v>
      </c>
      <c r="B486" s="3">
        <v>0.16354305932769211</v>
      </c>
      <c r="C486" s="4">
        <f t="shared" si="22"/>
        <v>4.8878053962353174E-3</v>
      </c>
      <c r="D486" s="5">
        <f t="shared" si="21"/>
        <v>4.8878053962353174E-3</v>
      </c>
      <c r="F486" s="3">
        <v>0.48399999999999999</v>
      </c>
      <c r="G486" s="3">
        <v>1.7515519239953443</v>
      </c>
      <c r="H486" s="3" cm="1">
        <f t="array" ref="H486">SUM((_xlfn.NORM.DIST((F357:F485-F486),0,L486,TRUE)-_xlfn.NORM.DIST((F357:F485-F486-0.001),0,L486,TRUE))*(G357:G485+G487:G615))+G486*_xlfn.NORM.DIST(0,0,L486,TRUE)*2</f>
        <v>2.4435230505504046</v>
      </c>
      <c r="L486" s="3">
        <f t="shared" si="23"/>
        <v>3.0000000000000001E-3</v>
      </c>
    </row>
    <row r="487" spans="1:12" x14ac:dyDescent="0.4">
      <c r="A487" s="3">
        <v>-4.8000000000000043E-2</v>
      </c>
      <c r="B487" s="3">
        <v>0.16852760746683759</v>
      </c>
      <c r="C487" s="4">
        <f t="shared" si="22"/>
        <v>4.9845481391454782E-3</v>
      </c>
      <c r="D487" s="5">
        <f t="shared" si="21"/>
        <v>4.9845481391454782E-3</v>
      </c>
      <c r="F487" s="3">
        <v>0.48499999999999999</v>
      </c>
      <c r="G487" s="3">
        <v>1.7114758633694007</v>
      </c>
      <c r="H487" s="3" cm="1">
        <f t="array" ref="H487">SUM((_xlfn.NORM.DIST((F358:F486-F487),0,L487,TRUE)-_xlfn.NORM.DIST((F358:F486-F487-0.001),0,L487,TRUE))*(G358:G486+G488:G616))+G487*_xlfn.NORM.DIST(0,0,L487,TRUE)*2</f>
        <v>2.3857954079609933</v>
      </c>
      <c r="L487" s="3">
        <f t="shared" si="23"/>
        <v>3.0000000000000001E-3</v>
      </c>
    </row>
    <row r="488" spans="1:12" x14ac:dyDescent="0.4">
      <c r="A488" s="3">
        <v>-4.7000000000000042E-2</v>
      </c>
      <c r="B488" s="3">
        <v>0.17360878033862437</v>
      </c>
      <c r="C488" s="4">
        <f t="shared" si="22"/>
        <v>5.0811728717867766E-3</v>
      </c>
      <c r="D488" s="5">
        <f t="shared" si="21"/>
        <v>5.0811728717867766E-3</v>
      </c>
      <c r="F488" s="3">
        <v>0.48599999999999999</v>
      </c>
      <c r="G488" s="3">
        <v>1.6737986891269692</v>
      </c>
      <c r="H488" s="3" cm="1">
        <f t="array" ref="H488">SUM((_xlfn.NORM.DIST((F359:F487-F488),0,L488,TRUE)-_xlfn.NORM.DIST((F359:F487-F488-0.001),0,L488,TRUE))*(G359:G487+G489:G617))+G488*_xlfn.NORM.DIST(0,0,L488,TRUE)*2</f>
        <v>2.3315803982681986</v>
      </c>
      <c r="L488" s="3">
        <f t="shared" si="23"/>
        <v>3.0000000000000001E-3</v>
      </c>
    </row>
    <row r="489" spans="1:12" x14ac:dyDescent="0.4">
      <c r="A489" s="3">
        <v>-4.6000000000000041E-2</v>
      </c>
      <c r="B489" s="3">
        <v>0.17878637961437152</v>
      </c>
      <c r="C489" s="4">
        <f t="shared" si="22"/>
        <v>5.1775992757471523E-3</v>
      </c>
      <c r="D489" s="5">
        <f t="shared" si="21"/>
        <v>5.1775992757471523E-3</v>
      </c>
      <c r="F489" s="3">
        <v>0.48699999999999999</v>
      </c>
      <c r="G489" s="3">
        <v>1.6383112703544971</v>
      </c>
      <c r="H489" s="3" cm="1">
        <f t="array" ref="H489">SUM((_xlfn.NORM.DIST((F360:F488-F489),0,L489,TRUE)-_xlfn.NORM.DIST((F360:F488-F489-0.001),0,L489,TRUE))*(G360:G488+G490:G618))+G489*_xlfn.NORM.DIST(0,0,L489,TRUE)*2</f>
        <v>2.2805901873398722</v>
      </c>
      <c r="L489" s="3">
        <f t="shared" si="23"/>
        <v>3.0000000000000001E-3</v>
      </c>
    </row>
    <row r="490" spans="1:12" x14ac:dyDescent="0.4">
      <c r="A490" s="3">
        <v>-4.500000000000004E-2</v>
      </c>
      <c r="B490" s="3">
        <v>0.18406012534675928</v>
      </c>
      <c r="C490" s="4">
        <f t="shared" si="22"/>
        <v>5.2737457323877579E-3</v>
      </c>
      <c r="D490" s="5">
        <f t="shared" si="21"/>
        <v>5.2737457323877579E-3</v>
      </c>
      <c r="F490" s="3">
        <v>0.48799999999999999</v>
      </c>
      <c r="G490" s="3">
        <v>1.6048280985952168</v>
      </c>
      <c r="H490" s="3" cm="1">
        <f t="array" ref="H490">SUM((_xlfn.NORM.DIST((F361:F489-F490),0,L490,TRUE)-_xlfn.NORM.DIST((F361:F489-F490-0.001),0,L490,TRUE))*(G361:G489+G491:G619))+G490*_xlfn.NORM.DIST(0,0,L490,TRUE)*2</f>
        <v>2.2325530697859612</v>
      </c>
      <c r="L490" s="3">
        <f t="shared" si="23"/>
        <v>3.0000000000000001E-3</v>
      </c>
    </row>
    <row r="491" spans="1:12" x14ac:dyDescent="0.4">
      <c r="A491" s="3">
        <v>-4.4000000000000039E-2</v>
      </c>
      <c r="B491" s="3">
        <v>0.18942965477671192</v>
      </c>
      <c r="C491" s="4">
        <f t="shared" si="22"/>
        <v>5.3695294299526408E-3</v>
      </c>
      <c r="D491" s="5">
        <f t="shared" si="21"/>
        <v>5.3695294299526408E-3</v>
      </c>
      <c r="F491" s="3">
        <v>0.48899999999999999</v>
      </c>
      <c r="G491" s="3">
        <v>1.5731840440952864</v>
      </c>
      <c r="H491" s="3" cm="1">
        <f t="array" ref="H491">SUM((_xlfn.NORM.DIST((F362:F490-F491),0,L491,TRUE)-_xlfn.NORM.DIST((F362:F490-F491-0.001),0,L491,TRUE))*(G362:G490+G492:G620))+G491*_xlfn.NORM.DIST(0,0,L491,TRUE)*2</f>
        <v>2.1872217258416953</v>
      </c>
      <c r="L491" s="3">
        <f t="shared" si="23"/>
        <v>3.0000000000000001E-3</v>
      </c>
    </row>
    <row r="492" spans="1:12" x14ac:dyDescent="0.4">
      <c r="A492" s="3">
        <v>-4.3000000000000038E-2</v>
      </c>
      <c r="B492" s="3">
        <v>0.19489452125180809</v>
      </c>
      <c r="C492" s="4">
        <f t="shared" si="22"/>
        <v>5.4648664750961695E-3</v>
      </c>
      <c r="D492" s="5">
        <f t="shared" si="21"/>
        <v>5.4648664750961695E-3</v>
      </c>
      <c r="F492" s="3">
        <v>0.49</v>
      </c>
      <c r="G492" s="3">
        <v>1.5432316322681392</v>
      </c>
      <c r="H492" s="3" cm="1">
        <f t="array" ref="H492">SUM((_xlfn.NORM.DIST((F363:F491-F492),0,L492,TRUE)-_xlfn.NORM.DIST((F363:F491-F492-0.001),0,L492,TRUE))*(G363:G491+G493:G621))+G492*_xlfn.NORM.DIST(0,0,L492,TRUE)*2</f>
        <v>2.1443740115134031</v>
      </c>
      <c r="L492" s="3">
        <f t="shared" si="23"/>
        <v>3.0000000000000001E-3</v>
      </c>
    </row>
    <row r="493" spans="1:12" x14ac:dyDescent="0.4">
      <c r="A493" s="3">
        <v>-4.2000000000000037E-2</v>
      </c>
      <c r="B493" s="3">
        <v>0.20045419326044944</v>
      </c>
      <c r="C493" s="4">
        <f t="shared" si="22"/>
        <v>5.5596720086413531E-3</v>
      </c>
      <c r="D493" s="5">
        <f t="shared" si="21"/>
        <v>5.5596720086413531E-3</v>
      </c>
      <c r="F493" s="3">
        <v>0.49099999999999999</v>
      </c>
      <c r="G493" s="3">
        <v>1.514838745575888</v>
      </c>
      <c r="H493" s="3" cm="1">
        <f t="array" ref="H493">SUM((_xlfn.NORM.DIST((F364:F492-F493),0,L493,TRUE)-_xlfn.NORM.DIST((F364:F492-F493-0.001),0,L493,TRUE))*(G364:G492+G494:G622))+G493*_xlfn.NORM.DIST(0,0,L493,TRUE)*2</f>
        <v>2.1038110008731765</v>
      </c>
      <c r="L493" s="3">
        <f t="shared" si="23"/>
        <v>3.0000000000000001E-3</v>
      </c>
    </row>
    <row r="494" spans="1:12" x14ac:dyDescent="0.4">
      <c r="A494" s="3">
        <v>-4.1000000000000036E-2</v>
      </c>
      <c r="B494" s="3">
        <v>0.20610805358581288</v>
      </c>
      <c r="C494" s="4">
        <f t="shared" si="22"/>
        <v>5.6538603253634412E-3</v>
      </c>
      <c r="D494" s="5">
        <f t="shared" si="21"/>
        <v>5.6538603253634412E-3</v>
      </c>
      <c r="F494" s="3">
        <v>0.49199999999999999</v>
      </c>
      <c r="G494" s="3">
        <v>1.487886675269952</v>
      </c>
      <c r="H494" s="3" cm="1">
        <f t="array" ref="H494">SUM((_xlfn.NORM.DIST((F365:F493-F494),0,L494,TRUE)-_xlfn.NORM.DIST((F365:F493-F494-0.001),0,L494,TRUE))*(G365:G493+G495:G623))+G494*_xlfn.NORM.DIST(0,0,L494,TRUE)*2</f>
        <v>2.0653543765199913</v>
      </c>
      <c r="L494" s="3">
        <f t="shared" si="23"/>
        <v>3.0000000000000001E-3</v>
      </c>
    </row>
    <row r="495" spans="1:12" x14ac:dyDescent="0.4">
      <c r="A495" s="3">
        <v>-4.0000000000000036E-2</v>
      </c>
      <c r="B495" s="3">
        <v>0.21185539858339644</v>
      </c>
      <c r="C495" s="4">
        <f t="shared" si="22"/>
        <v>5.7473449975835589E-3</v>
      </c>
      <c r="D495" s="5">
        <f t="shared" si="21"/>
        <v>5.7473449975835589E-3</v>
      </c>
      <c r="F495" s="3">
        <v>0.49299999999999999</v>
      </c>
      <c r="G495" s="3">
        <v>1.4622684623885813</v>
      </c>
      <c r="H495" s="3" cm="1">
        <f t="array" ref="H495">SUM((_xlfn.NORM.DIST((F366:F494-F495),0,L495,TRUE)-_xlfn.NORM.DIST((F366:F494-F495-0.001),0,L495,TRUE))*(G366:G494+G496:G624))+G495*_xlfn.NORM.DIST(0,0,L495,TRUE)*2</f>
        <v>2.0288439163551026</v>
      </c>
      <c r="L495" s="3">
        <f t="shared" si="23"/>
        <v>3.0000000000000001E-3</v>
      </c>
    </row>
    <row r="496" spans="1:12" x14ac:dyDescent="0.4">
      <c r="A496" s="3">
        <v>-3.9000000000000035E-2</v>
      </c>
      <c r="B496" s="3">
        <v>0.21769543758573293</v>
      </c>
      <c r="C496" s="4">
        <f t="shared" si="22"/>
        <v>5.8400390023364834E-3</v>
      </c>
      <c r="D496" s="5">
        <f t="shared" si="21"/>
        <v>5.8400390023364834E-3</v>
      </c>
      <c r="F496" s="3">
        <v>0.49399999999999999</v>
      </c>
      <c r="G496" s="3">
        <v>1.4379190169139864</v>
      </c>
      <c r="H496" s="3" cm="1">
        <f t="array" ref="H496">SUM((_xlfn.NORM.DIST((F367:F495-F496),0,L496,TRUE)-_xlfn.NORM.DIST((F367:F495-F496-0.001),0,L496,TRUE))*(G367:G495+G497:G625))+G496*_xlfn.NORM.DIST(0,0,L496,TRUE)*2</f>
        <v>1.9941668100159591</v>
      </c>
      <c r="L496" s="3">
        <f t="shared" si="23"/>
        <v>3.0000000000000001E-3</v>
      </c>
    </row>
    <row r="497" spans="1:12" x14ac:dyDescent="0.4">
      <c r="A497" s="3">
        <v>-3.8000000000000034E-2</v>
      </c>
      <c r="B497" s="3">
        <v>0.22362729243759924</v>
      </c>
      <c r="C497" s="4">
        <f t="shared" si="22"/>
        <v>5.9318548518663139E-3</v>
      </c>
      <c r="D497" s="5">
        <f t="shared" si="21"/>
        <v>5.9318548518663139E-3</v>
      </c>
      <c r="F497" s="3">
        <v>0.495</v>
      </c>
      <c r="G497" s="3">
        <v>1.4162634138022685</v>
      </c>
      <c r="H497" s="3" cm="1">
        <f t="array" ref="H497">SUM((_xlfn.NORM.DIST((F368:F496-F497),0,L497,TRUE)-_xlfn.NORM.DIST((F368:F496-F497-0.001),0,L497,TRUE))*(G368:G496+G498:G626))+G497*_xlfn.NORM.DIST(0,0,L497,TRUE)*2</f>
        <v>1.9627089433705553</v>
      </c>
      <c r="L497" s="3">
        <f t="shared" si="23"/>
        <v>3.0000000000000001E-3</v>
      </c>
    </row>
    <row r="498" spans="1:12" x14ac:dyDescent="0.4">
      <c r="A498" s="3">
        <v>-3.7000000000000033E-2</v>
      </c>
      <c r="B498" s="3">
        <v>0.22964999716479037</v>
      </c>
      <c r="C498" s="4">
        <f t="shared" si="22"/>
        <v>6.0227047271911305E-3</v>
      </c>
      <c r="D498" s="5">
        <f t="shared" si="21"/>
        <v>6.0227047271911305E-3</v>
      </c>
      <c r="F498" s="3">
        <v>0.496</v>
      </c>
      <c r="G498" s="3">
        <v>1.3956409478667222</v>
      </c>
      <c r="H498" s="3" cm="1">
        <f t="array" ref="H498">SUM((_xlfn.NORM.DIST((F369:F497-F498),0,L498,TRUE)-_xlfn.NORM.DIST((F369:F497-F498-0.001),0,L498,TRUE))*(G369:G497+G499:G627))+G498*_xlfn.NORM.DIST(0,0,L498,TRUE)*2</f>
        <v>1.932950832082649</v>
      </c>
      <c r="L498" s="3">
        <f t="shared" si="23"/>
        <v>3.0000000000000001E-3</v>
      </c>
    </row>
    <row r="499" spans="1:12" x14ac:dyDescent="0.4">
      <c r="A499" s="3">
        <v>-3.6000000000000032E-2</v>
      </c>
      <c r="B499" s="3">
        <v>0.2357624977792509</v>
      </c>
      <c r="C499" s="4">
        <f t="shared" si="22"/>
        <v>6.1125006144605309E-3</v>
      </c>
      <c r="D499" s="5">
        <f t="shared" si="21"/>
        <v>6.1125006144605309E-3</v>
      </c>
      <c r="F499" s="3">
        <v>0.497</v>
      </c>
      <c r="G499" s="3">
        <v>1.3759794088313329</v>
      </c>
      <c r="H499" s="3" cm="1">
        <f t="array" ref="H499">SUM((_xlfn.NORM.DIST((F370:F498-F499),0,L499,TRUE)-_xlfn.NORM.DIST((F370:F498-F499-0.001),0,L499,TRUE))*(G370:G498+G500:G628))+G499*_xlfn.NORM.DIST(0,0,L499,TRUE)*2</f>
        <v>1.9047445004220265</v>
      </c>
      <c r="L499" s="3">
        <f t="shared" si="23"/>
        <v>3.0000000000000001E-3</v>
      </c>
    </row>
    <row r="500" spans="1:12" x14ac:dyDescent="0.4">
      <c r="A500" s="3">
        <v>-3.5000000000000031E-2</v>
      </c>
      <c r="B500" s="3">
        <v>0.24196365222307276</v>
      </c>
      <c r="C500" s="4">
        <f t="shared" si="22"/>
        <v>6.2011544438218547E-3</v>
      </c>
      <c r="D500" s="5">
        <f t="shared" si="21"/>
        <v>6.2011544438218547E-3</v>
      </c>
      <c r="F500" s="3">
        <v>0.498</v>
      </c>
      <c r="G500" s="3">
        <v>1.3572131626442037</v>
      </c>
      <c r="H500" s="3" cm="1">
        <f t="array" ref="H500">SUM((_xlfn.NORM.DIST((F371:F499-F500),0,L500,TRUE)-_xlfn.NORM.DIST((F371:F499-F500-0.001),0,L500,TRUE))*(G371:G499+G501:G629))+G500*_xlfn.NORM.DIST(0,0,L500,TRUE)*2</f>
        <v>1.8779477138965968</v>
      </c>
      <c r="L500" s="3">
        <f t="shared" si="23"/>
        <v>3.0000000000000001E-3</v>
      </c>
    </row>
    <row r="501" spans="1:12" x14ac:dyDescent="0.4">
      <c r="A501" s="3">
        <v>-3.400000000000003E-2</v>
      </c>
      <c r="B501" s="3">
        <v>0.24825223045357031</v>
      </c>
      <c r="C501" s="4">
        <f t="shared" si="22"/>
        <v>6.2885782304975546E-3</v>
      </c>
      <c r="D501" s="5">
        <f t="shared" si="21"/>
        <v>6.2885782304975546E-3</v>
      </c>
      <c r="F501" s="3">
        <v>0.499</v>
      </c>
      <c r="G501" s="3">
        <v>1.3392824195178397</v>
      </c>
      <c r="H501" s="3" cm="1">
        <f t="array" ref="H501">SUM((_xlfn.NORM.DIST((F372:F500-F501),0,L501,TRUE)-_xlfn.NORM.DIST((F372:F500-F501-0.001),0,L501,TRUE))*(G372:G500+G502:G630))+G501*_xlfn.NORM.DIST(0,0,L501,TRUE)*2</f>
        <v>1.852431842502372</v>
      </c>
      <c r="L501" s="3">
        <f t="shared" si="23"/>
        <v>3.0000000000000001E-3</v>
      </c>
    </row>
    <row r="502" spans="1:12" x14ac:dyDescent="0.4">
      <c r="A502" s="3">
        <v>-3.3000000000000029E-2</v>
      </c>
      <c r="B502" s="3">
        <v>0.25462691467133591</v>
      </c>
      <c r="C502" s="4">
        <f t="shared" si="22"/>
        <v>6.3746842177656027E-3</v>
      </c>
      <c r="D502" s="5">
        <f t="shared" si="21"/>
        <v>6.3746842177656027E-3</v>
      </c>
      <c r="F502" s="3">
        <v>0.5</v>
      </c>
      <c r="G502" s="3">
        <v>1.3221325976042786</v>
      </c>
      <c r="H502" s="3" cm="1">
        <f t="array" ref="H502">SUM((_xlfn.NORM.DIST((F373:F501-F502),0,L502,TRUE)-_xlfn.NORM.DIST((F373:F501-F502-0.001),0,L502,TRUE))*(G373:G501+G503:G631))+G502*_xlfn.NORM.DIST(0,0,L502,TRUE)*2</f>
        <v>1.8280858934036128</v>
      </c>
      <c r="L502" s="3">
        <f t="shared" si="23"/>
        <v>3.0000000000000001E-3</v>
      </c>
    </row>
    <row r="503" spans="1:12" x14ac:dyDescent="0.4">
      <c r="A503" s="3">
        <v>-3.2000000000000028E-2</v>
      </c>
      <c r="B503" s="3">
        <v>0.26108629969286135</v>
      </c>
      <c r="C503" s="4">
        <f t="shared" si="22"/>
        <v>6.4593850215254323E-3</v>
      </c>
      <c r="D503" s="5">
        <f t="shared" si="21"/>
        <v>6.4593850215254323E-3</v>
      </c>
      <c r="F503" s="3">
        <v>0.501</v>
      </c>
      <c r="G503" s="3">
        <v>1.305713768038347</v>
      </c>
      <c r="H503" s="3" cm="1">
        <f t="array" ref="H503">SUM((_xlfn.NORM.DIST((F374:F502-F503),0,L503,TRUE)-_xlfn.NORM.DIST((F374:F502-F503-0.001),0,L503,TRUE))*(G374:G502+G504:G632))+G503*_xlfn.NORM.DIST(0,0,L503,TRUE)*2</f>
        <v>1.8048164070148796</v>
      </c>
      <c r="L503" s="3">
        <f t="shared" si="23"/>
        <v>3.0000000000000001E-3</v>
      </c>
    </row>
    <row r="504" spans="1:12" x14ac:dyDescent="0.4">
      <c r="A504" s="3">
        <v>-3.1000000000000028E-2</v>
      </c>
      <c r="B504" s="3">
        <v>0.26762889346898278</v>
      </c>
      <c r="C504" s="4">
        <f t="shared" si="22"/>
        <v>6.5425937761214303E-3</v>
      </c>
      <c r="D504" s="5">
        <f t="shared" si="21"/>
        <v>6.5425937761214303E-3</v>
      </c>
      <c r="F504" s="3">
        <v>0.502</v>
      </c>
      <c r="G504" s="3">
        <v>1.2899801694633899</v>
      </c>
      <c r="H504" s="3" cm="1">
        <f t="array" ref="H504">SUM((_xlfn.NORM.DIST((F375:F503-F504),0,L504,TRUE)-_xlfn.NORM.DIST((F375:F503-F504-0.001),0,L504,TRUE))*(G375:G503+G505:G633))+G504*_xlfn.NORM.DIST(0,0,L504,TRUE)*2</f>
        <v>1.7825447054548471</v>
      </c>
      <c r="L504" s="3">
        <f t="shared" si="23"/>
        <v>3.0000000000000001E-3</v>
      </c>
    </row>
    <row r="505" spans="1:12" x14ac:dyDescent="0.4">
      <c r="A505" s="3">
        <v>-3.0000000000000027E-2</v>
      </c>
      <c r="B505" s="3">
        <v>0.27425311775007338</v>
      </c>
      <c r="C505" s="4">
        <f t="shared" si="22"/>
        <v>6.6242242810906071E-3</v>
      </c>
      <c r="D505" s="5">
        <f t="shared" si="21"/>
        <v>6.6242242810906071E-3</v>
      </c>
      <c r="F505" s="3">
        <v>0.503</v>
      </c>
      <c r="G505" s="3">
        <v>1.274889782097345</v>
      </c>
      <c r="H505" s="3" cm="1">
        <f t="array" ref="H505">SUM((_xlfn.NORM.DIST((F376:F504-F505),0,L505,TRUE)-_xlfn.NORM.DIST((F376:F504-F505-0.001),0,L505,TRUE))*(G376:G504+G506:G634))+G505*_xlfn.NORM.DIST(0,0,L505,TRUE)*2</f>
        <v>1.7612033649499297</v>
      </c>
      <c r="L505" s="3">
        <f t="shared" si="23"/>
        <v>3.0000000000000001E-3</v>
      </c>
    </row>
    <row r="506" spans="1:12" x14ac:dyDescent="0.4">
      <c r="A506" s="3">
        <v>-2.9000000000000026E-2</v>
      </c>
      <c r="B506" s="3">
        <v>0.28095730889856413</v>
      </c>
      <c r="C506" s="4">
        <f t="shared" si="22"/>
        <v>6.7041911484907457E-3</v>
      </c>
      <c r="D506" s="5">
        <f t="shared" si="21"/>
        <v>6.7041911484907457E-3</v>
      </c>
      <c r="F506" s="3">
        <v>0.504</v>
      </c>
      <c r="G506" s="3">
        <v>1.2604039529913289</v>
      </c>
      <c r="H506" s="3" cm="1">
        <f t="array" ref="H506">SUM((_xlfn.NORM.DIST((F377:F505-F506),0,L506,TRUE)-_xlfn.NORM.DIST((F377:F505-F506-0.001),0,L506,TRUE))*(G377:G505+G507:G635))+G506*_xlfn.NORM.DIST(0,0,L506,TRUE)*2</f>
        <v>1.7407331679239584</v>
      </c>
      <c r="L506" s="3">
        <f t="shared" si="23"/>
        <v>3.0000000000000001E-3</v>
      </c>
    </row>
    <row r="507" spans="1:12" x14ac:dyDescent="0.4">
      <c r="A507" s="3">
        <v>-2.8000000000000025E-2</v>
      </c>
      <c r="B507" s="3">
        <v>0.28773971884902688</v>
      </c>
      <c r="C507" s="4">
        <f t="shared" si="22"/>
        <v>6.7824099504627533E-3</v>
      </c>
      <c r="D507" s="5">
        <f t="shared" si="21"/>
        <v>6.7824099504627533E-3</v>
      </c>
      <c r="F507" s="3">
        <v>0.505</v>
      </c>
      <c r="G507" s="3">
        <v>1.2464870654420381</v>
      </c>
      <c r="H507" s="3" cm="1">
        <f t="array" ref="H507">SUM((_xlfn.NORM.DIST((F378:F506-F507),0,L507,TRUE)-_xlfn.NORM.DIST((F378:F506-F507-0.001),0,L507,TRUE))*(G378:G506+G508:G636))+G507*_xlfn.NORM.DIST(0,0,L507,TRUE)*2</f>
        <v>1.721080965580557</v>
      </c>
      <c r="L507" s="3">
        <f t="shared" si="23"/>
        <v>3.0000000000000001E-3</v>
      </c>
    </row>
    <row r="508" spans="1:12" x14ac:dyDescent="0.4">
      <c r="A508" s="3">
        <v>-2.7000000000000024E-2</v>
      </c>
      <c r="B508" s="3">
        <v>0.29459851621569788</v>
      </c>
      <c r="C508" s="4">
        <f t="shared" si="22"/>
        <v>6.8587973666709989E-3</v>
      </c>
      <c r="D508" s="5">
        <f t="shared" si="21"/>
        <v>6.8587973666709989E-3</v>
      </c>
      <c r="F508" s="3">
        <v>0.50600000000000001</v>
      </c>
      <c r="G508" s="3">
        <v>1.233106246606964</v>
      </c>
      <c r="H508" s="3" cm="1">
        <f t="array" ref="H508">SUM((_xlfn.NORM.DIST((F379:F507-F508),0,L508,TRUE)-_xlfn.NORM.DIST((F379:F507-F508-0.001),0,L508,TRUE))*(G379:G507+G509:G637))+G508*_xlfn.NORM.DIST(0,0,L508,TRUE)*2</f>
        <v>1.7021983473755631</v>
      </c>
      <c r="L508" s="3">
        <f t="shared" si="23"/>
        <v>3.0000000000000001E-3</v>
      </c>
    </row>
    <row r="509" spans="1:12" x14ac:dyDescent="0.4">
      <c r="A509" s="3">
        <v>-2.6000000000000023E-2</v>
      </c>
      <c r="B509" s="3">
        <v>0.30153178754696602</v>
      </c>
      <c r="C509" s="4">
        <f t="shared" si="22"/>
        <v>6.9332713312681427E-3</v>
      </c>
      <c r="D509" s="5">
        <f t="shared" si="21"/>
        <v>6.9332713312681427E-3</v>
      </c>
      <c r="F509" s="3">
        <v>0.50700000000000001</v>
      </c>
      <c r="G509" s="3">
        <v>1.2202311082680182</v>
      </c>
      <c r="H509" s="3" cm="1">
        <f t="array" ref="H509">SUM((_xlfn.NORM.DIST((F380:F508-F509),0,L509,TRUE)-_xlfn.NORM.DIST((F380:F508-F509-0.001),0,L509,TRUE))*(G380:G508+G510:G638))+G509*_xlfn.NORM.DIST(0,0,L509,TRUE)*2</f>
        <v>1.6840408404847165</v>
      </c>
      <c r="L509" s="3">
        <f t="shared" si="23"/>
        <v>3.0000000000000001E-3</v>
      </c>
    </row>
    <row r="510" spans="1:12" x14ac:dyDescent="0.4">
      <c r="A510" s="3">
        <v>-2.5000000000000022E-2</v>
      </c>
      <c r="B510" s="3">
        <v>0.30853753872598666</v>
      </c>
      <c r="C510" s="4">
        <f t="shared" si="22"/>
        <v>7.0057511790206362E-3</v>
      </c>
      <c r="D510" s="5">
        <f t="shared" si="21"/>
        <v>7.0057511790206362E-3</v>
      </c>
      <c r="F510" s="3">
        <v>0.50800000000000001</v>
      </c>
      <c r="G510" s="3">
        <v>1.207833516441255</v>
      </c>
      <c r="H510" s="3" cm="1">
        <f t="array" ref="H510">SUM((_xlfn.NORM.DIST((F381:F509-F510),0,L510,TRUE)-_xlfn.NORM.DIST((F381:F509-F510-0.001),0,L510,TRUE))*(G381:G509+G511:G639))+G510*_xlfn.NORM.DIST(0,0,L510,TRUE)*2</f>
        <v>1.666567399603005</v>
      </c>
      <c r="L510" s="3">
        <f t="shared" si="23"/>
        <v>3.0000000000000001E-3</v>
      </c>
    </row>
    <row r="511" spans="1:12" x14ac:dyDescent="0.4">
      <c r="A511" s="3">
        <v>-2.4000000000000021E-2</v>
      </c>
      <c r="B511" s="3">
        <v>0.3156136965162224</v>
      </c>
      <c r="C511" s="4">
        <f t="shared" si="22"/>
        <v>7.0761577902357375E-3</v>
      </c>
      <c r="D511" s="5">
        <f t="shared" si="21"/>
        <v>7.0761577902357375E-3</v>
      </c>
      <c r="F511" s="3">
        <v>0.50900000000000001</v>
      </c>
      <c r="G511" s="3">
        <v>1.19588738615547</v>
      </c>
      <c r="H511" s="3" cm="1">
        <f t="array" ref="H511">SUM((_xlfn.NORM.DIST((F382:F510-F511),0,L511,TRUE)-_xlfn.NORM.DIST((F382:F510-F511-0.001),0,L511,TRUE))*(G382:G510+G512:G640))+G511*_xlfn.NORM.DIST(0,0,L511,TRUE)*2</f>
        <v>1.6497400410555065</v>
      </c>
      <c r="L511" s="3">
        <f t="shared" si="23"/>
        <v>3.0000000000000001E-3</v>
      </c>
    </row>
    <row r="512" spans="1:12" x14ac:dyDescent="0.4">
      <c r="A512" s="3">
        <v>-2.300000000000002E-2</v>
      </c>
      <c r="B512" s="3">
        <v>0.32275811025034756</v>
      </c>
      <c r="C512" s="4">
        <f t="shared" si="22"/>
        <v>7.1444137341251657E-3</v>
      </c>
      <c r="D512" s="5">
        <f t="shared" si="21"/>
        <v>7.1444137341251657E-3</v>
      </c>
      <c r="F512" s="3">
        <v>0.51</v>
      </c>
      <c r="G512" s="3">
        <v>1.1843684982493472</v>
      </c>
      <c r="H512" s="3" cm="1">
        <f t="array" ref="H512">SUM((_xlfn.NORM.DIST((F383:F511-F512),0,L512,TRUE)-_xlfn.NORM.DIST((F383:F511-F512-0.001),0,L512,TRUE))*(G383:G511+G513:G641))+G512*_xlfn.NORM.DIST(0,0,L512,TRUE)*2</f>
        <v>1.633523549484351</v>
      </c>
      <c r="L512" s="3">
        <f t="shared" si="23"/>
        <v>3.0000000000000001E-3</v>
      </c>
    </row>
    <row r="513" spans="1:12" x14ac:dyDescent="0.4">
      <c r="A513" s="3">
        <v>-2.200000000000002E-2</v>
      </c>
      <c r="B513" s="3">
        <v>0.32996855366059352</v>
      </c>
      <c r="C513" s="4">
        <f t="shared" si="22"/>
        <v>7.2104434102459591E-3</v>
      </c>
      <c r="D513" s="5">
        <f t="shared" si="21"/>
        <v>7.2104434102459591E-3</v>
      </c>
      <c r="F513" s="3">
        <v>0.51100000000000001</v>
      </c>
      <c r="G513" s="3">
        <v>1.173254335480268</v>
      </c>
      <c r="H513" s="3" cm="1">
        <f t="array" ref="H513">SUM((_xlfn.NORM.DIST((F384:F512-F513),0,L513,TRUE)-_xlfn.NORM.DIST((F384:F512-F513-0.001),0,L513,TRUE))*(G384:G512+G514:G642))+G513*_xlfn.NORM.DIST(0,0,L513,TRUE)*2</f>
        <v>1.6178852264781396</v>
      </c>
      <c r="L513" s="3">
        <f t="shared" si="23"/>
        <v>3.0000000000000001E-3</v>
      </c>
    </row>
    <row r="514" spans="1:12" x14ac:dyDescent="0.4">
      <c r="A514" s="3">
        <v>-2.1000000000000019E-2</v>
      </c>
      <c r="B514" s="3">
        <v>0.33724272684824935</v>
      </c>
      <c r="C514" s="4">
        <f t="shared" si="22"/>
        <v>7.2741731876558302E-3</v>
      </c>
      <c r="D514" s="5">
        <f t="shared" ref="D514:D533" si="24">C514</f>
        <v>7.2741731876558302E-3</v>
      </c>
      <c r="F514" s="3">
        <v>0.51200000000000001</v>
      </c>
      <c r="G514" s="3">
        <v>1.1625239356089831</v>
      </c>
      <c r="H514" s="3" cm="1">
        <f t="array" ref="H514">SUM((_xlfn.NORM.DIST((F385:F513-F514),0,L514,TRUE)-_xlfn.NORM.DIST((F385:F513-F514-0.001),0,L514,TRUE))*(G385:G513+G515:G643))+G514*_xlfn.NORM.DIST(0,0,L514,TRUE)*2</f>
        <v>1.6027946686296937</v>
      </c>
      <c r="L514" s="3">
        <f>L513</f>
        <v>3.0000000000000001E-3</v>
      </c>
    </row>
    <row r="515" spans="1:12" x14ac:dyDescent="0.4">
      <c r="A515" s="3">
        <v>-2.0000000000000018E-2</v>
      </c>
      <c r="B515" s="3">
        <v>0.34457825838967565</v>
      </c>
      <c r="C515" s="4">
        <f t="shared" ref="C515:C578" si="25">B515-B514</f>
        <v>7.3355315414262989E-3</v>
      </c>
      <c r="D515" s="5">
        <f t="shared" si="24"/>
        <v>7.3355315414262989E-3</v>
      </c>
      <c r="F515" s="3">
        <v>0.51300000000000001</v>
      </c>
      <c r="G515" s="3">
        <v>1.1521577594458954</v>
      </c>
      <c r="H515" s="3" cm="1">
        <f t="array" ref="H515">SUM((_xlfn.NORM.DIST((F386:F514-F515),0,L515,TRUE)-_xlfn.NORM.DIST((F386:F514-F515-0.001),0,L515,TRUE))*(G386:G514+G516:G644))+G515*_xlfn.NORM.DIST(0,0,L515,TRUE)*2</f>
        <v>1.5882235693114364</v>
      </c>
      <c r="L515" s="3">
        <f t="shared" si="23"/>
        <v>3.0000000000000001E-3</v>
      </c>
    </row>
    <row r="516" spans="1:12" x14ac:dyDescent="0.4">
      <c r="A516" s="3">
        <v>-1.9000000000000017E-2</v>
      </c>
      <c r="B516" s="3">
        <v>0.3519727075758371</v>
      </c>
      <c r="C516" s="4">
        <f t="shared" si="25"/>
        <v>7.3944491861614448E-3</v>
      </c>
      <c r="D516" s="5">
        <f t="shared" si="24"/>
        <v>7.3944491861614448E-3</v>
      </c>
      <c r="F516" s="3">
        <v>0.51400000000000001</v>
      </c>
      <c r="G516" s="3">
        <v>1.142137572108916</v>
      </c>
      <c r="H516" s="3" cm="1">
        <f t="array" ref="H516">SUM((_xlfn.NORM.DIST((F387:F515-F516),0,L516,TRUE)-_xlfn.NORM.DIST((F387:F515-F516-0.001),0,L516,TRUE))*(G387:G515+G517:G645))+G516*_xlfn.NORM.DIST(0,0,L516,TRUE)*2</f>
        <v>1.5741455407982068</v>
      </c>
      <c r="L516" s="3">
        <f t="shared" ref="L516:L535" si="26">L515</f>
        <v>3.0000000000000001E-3</v>
      </c>
    </row>
    <row r="517" spans="1:12" x14ac:dyDescent="0.4">
      <c r="A517" s="3">
        <v>-1.8000000000000016E-2</v>
      </c>
      <c r="B517" s="3">
        <v>0.3594235667820086</v>
      </c>
      <c r="C517" s="4">
        <f t="shared" si="25"/>
        <v>7.4508592061715007E-3</v>
      </c>
      <c r="D517" s="5">
        <f t="shared" si="24"/>
        <v>7.4508592061715007E-3</v>
      </c>
      <c r="F517" s="3">
        <v>0.51500000000000001</v>
      </c>
      <c r="G517" s="3">
        <v>1.1324463359763024</v>
      </c>
      <c r="H517" s="3" cm="1">
        <f t="array" ref="H517">SUM((_xlfn.NORM.DIST((F388:F516-F517),0,L517,TRUE)-_xlfn.NORM.DIST((F388:F516-F517-0.001),0,L517,TRUE))*(G388:G516+G518:G646))+G517*_xlfn.NORM.DIST(0,0,L517,TRUE)*2</f>
        <v>1.5605359542373947</v>
      </c>
      <c r="L517" s="3">
        <f t="shared" si="26"/>
        <v>3.0000000000000001E-3</v>
      </c>
    </row>
    <row r="518" spans="1:12" x14ac:dyDescent="0.4">
      <c r="A518" s="3">
        <v>-1.7000000000000015E-2</v>
      </c>
      <c r="B518" s="3">
        <v>0.36692826396397182</v>
      </c>
      <c r="C518" s="4">
        <f t="shared" si="25"/>
        <v>7.5046971819632269E-3</v>
      </c>
      <c r="D518" s="5">
        <f t="shared" si="24"/>
        <v>7.5046971819632269E-3</v>
      </c>
      <c r="F518" s="3">
        <v>0.51600000000000001</v>
      </c>
      <c r="G518" s="3">
        <v>1.1230681140118286</v>
      </c>
      <c r="H518" s="3" cm="1">
        <f t="array" ref="H518">SUM((_xlfn.NORM.DIST((F389:F517-F518),0,L518,TRUE)-_xlfn.NORM.DIST((F389:F517-F518-0.001),0,L518,TRUE))*(G389:G517+G519:G647))+G518*_xlfn.NORM.DIST(0,0,L518,TRUE)*2</f>
        <v>1.5473717953889969</v>
      </c>
      <c r="L518" s="3">
        <f t="shared" si="26"/>
        <v>3.0000000000000001E-3</v>
      </c>
    </row>
    <row r="519" spans="1:12" x14ac:dyDescent="0.4">
      <c r="A519" s="3">
        <v>-1.6000000000000014E-2</v>
      </c>
      <c r="B519" s="3">
        <v>0.37448416527667983</v>
      </c>
      <c r="C519" s="4">
        <f t="shared" si="25"/>
        <v>7.5559013127080021E-3</v>
      </c>
      <c r="D519" s="5">
        <f t="shared" si="24"/>
        <v>7.5559013127080021E-3</v>
      </c>
      <c r="F519" s="3">
        <v>0.51700000000000002</v>
      </c>
      <c r="G519" s="3">
        <v>1.1139879823084871</v>
      </c>
      <c r="H519" s="3" cm="1">
        <f t="array" ref="H519">SUM((_xlfn.NORM.DIST((F390:F518-F519),0,L519,TRUE)-_xlfn.NORM.DIST((F390:F518-F519-0.001),0,L519,TRUE))*(G390:G518+G520:G648))+G519*_xlfn.NORM.DIST(0,0,L519,TRUE)*2</f>
        <v>1.5346315343468981</v>
      </c>
      <c r="L519" s="3">
        <f t="shared" si="26"/>
        <v>3.0000000000000001E-3</v>
      </c>
    </row>
    <row r="520" spans="1:12" x14ac:dyDescent="0.4">
      <c r="A520" s="3">
        <v>-1.5000000000000013E-2</v>
      </c>
      <c r="B520" s="3">
        <v>0.38208857781104721</v>
      </c>
      <c r="C520" s="4">
        <f t="shared" si="25"/>
        <v>7.6044125343673885E-3</v>
      </c>
      <c r="D520" s="5">
        <f t="shared" si="24"/>
        <v>7.6044125343673885E-3</v>
      </c>
      <c r="F520" s="3">
        <v>0.51800000000000002</v>
      </c>
      <c r="G520" s="3">
        <v>1.1051919508411445</v>
      </c>
      <c r="H520" s="3" cm="1">
        <f t="array" ref="H520">SUM((_xlfn.NORM.DIST((F391:F519-F520),0,L520,TRUE)-_xlfn.NORM.DIST((F391:F519-F520-0.001),0,L520,TRUE))*(G391:G519+G521:G649))+G520*_xlfn.NORM.DIST(0,0,L520,TRUE)*2</f>
        <v>1.5222950076837511</v>
      </c>
      <c r="L520" s="3">
        <f t="shared" si="26"/>
        <v>3.0000000000000001E-3</v>
      </c>
    </row>
    <row r="521" spans="1:12" x14ac:dyDescent="0.4">
      <c r="A521" s="3">
        <v>-1.4000000000000012E-2</v>
      </c>
      <c r="B521" s="3">
        <v>0.3897387524442027</v>
      </c>
      <c r="C521" s="4">
        <f t="shared" si="25"/>
        <v>7.6501746331554821E-3</v>
      </c>
      <c r="D521" s="5">
        <f t="shared" si="24"/>
        <v>7.6501746331554821E-3</v>
      </c>
      <c r="F521" s="3">
        <v>0.51900000000000002</v>
      </c>
      <c r="G521" s="3">
        <v>1.0966668915433371</v>
      </c>
      <c r="H521" s="3" cm="1">
        <f t="array" ref="H521">SUM((_xlfn.NORM.DIST((F392:F520-F521),0,L521,TRUE)-_xlfn.NORM.DIST((F392:F520-F521-0.001),0,L521,TRUE))*(G392:G520+G522:G650))+G521*_xlfn.NORM.DIST(0,0,L521,TRUE)*2</f>
        <v>1.5103433116579952</v>
      </c>
      <c r="L521" s="3">
        <f t="shared" si="26"/>
        <v>3.0000000000000001E-3</v>
      </c>
    </row>
    <row r="522" spans="1:12" x14ac:dyDescent="0.4">
      <c r="A522" s="3">
        <v>-1.3000000000000012E-2</v>
      </c>
      <c r="B522" s="3">
        <v>0.39743188679823938</v>
      </c>
      <c r="C522" s="4">
        <f t="shared" si="25"/>
        <v>7.6931343540366792E-3</v>
      </c>
      <c r="D522" s="5">
        <f t="shared" si="24"/>
        <v>7.6931343540366792E-3</v>
      </c>
      <c r="F522" s="3">
        <v>0.52</v>
      </c>
      <c r="G522" s="3">
        <v>1.0884004729300276</v>
      </c>
      <c r="H522" s="3" cm="1">
        <f t="array" ref="H522">SUM((_xlfn.NORM.DIST((F393:F521-F522),0,L522,TRUE)-_xlfn.NORM.DIST((F393:F521-F522-0.001),0,L522,TRUE))*(G393:G521+G523:G651))+G522*_xlfn.NORM.DIST(0,0,L522,TRUE)*2</f>
        <v>1.4987587052889662</v>
      </c>
      <c r="L522" s="3">
        <f t="shared" si="26"/>
        <v>3.0000000000000001E-3</v>
      </c>
    </row>
    <row r="523" spans="1:12" x14ac:dyDescent="0.4">
      <c r="A523" s="3">
        <v>-1.2000000000000011E-2</v>
      </c>
      <c r="B523" s="3">
        <v>0.40516512830220403</v>
      </c>
      <c r="C523" s="4">
        <f t="shared" si="25"/>
        <v>7.7332415039646496E-3</v>
      </c>
      <c r="D523" s="5">
        <f t="shared" si="24"/>
        <v>7.7332415039646496E-3</v>
      </c>
      <c r="F523" s="3">
        <v>0.52100000000000002</v>
      </c>
      <c r="G523" s="3">
        <v>1.0803811005820165</v>
      </c>
      <c r="H523" s="3" cm="1">
        <f t="array" ref="H523">SUM((_xlfn.NORM.DIST((F394:F522-F523),0,L523,TRUE)-_xlfn.NORM.DIST((F394:F522-F523-0.001),0,L523,TRUE))*(G394:G522+G524:G652))+G523*_xlfn.NORM.DIST(0,0,L523,TRUE)*2</f>
        <v>1.4875245222519669</v>
      </c>
      <c r="L523" s="3">
        <f t="shared" si="26"/>
        <v>3.0000000000000001E-3</v>
      </c>
    </row>
    <row r="524" spans="1:12" x14ac:dyDescent="0.4">
      <c r="A524" s="3">
        <v>-1.100000000000001E-2</v>
      </c>
      <c r="B524" s="3">
        <v>0.41293557735178532</v>
      </c>
      <c r="C524" s="4">
        <f t="shared" si="25"/>
        <v>7.7704490495812961E-3</v>
      </c>
      <c r="D524" s="5">
        <f t="shared" si="24"/>
        <v>7.7704490495812961E-3</v>
      </c>
      <c r="F524" s="3">
        <v>0.52200000000000002</v>
      </c>
      <c r="G524" s="3">
        <v>1.0725978628876838</v>
      </c>
      <c r="H524" s="3" cm="1">
        <f t="array" ref="H524">SUM((_xlfn.NORM.DIST((F395:F523-F524),0,L524,TRUE)-_xlfn.NORM.DIST((F395:F523-F524-0.001),0,L524,TRUE))*(G395:G523+G525:G653))+G524*_xlfn.NORM.DIST(0,0,L524,TRUE)*2</f>
        <v>1.4766250906700744</v>
      </c>
      <c r="L524" s="3">
        <f t="shared" si="26"/>
        <v>3.0000000000000001E-3</v>
      </c>
    </row>
    <row r="525" spans="1:12" x14ac:dyDescent="0.4">
      <c r="A525" s="3">
        <v>-1.0000000000000009E-2</v>
      </c>
      <c r="B525" s="3">
        <v>0.4207402905608969</v>
      </c>
      <c r="C525" s="4">
        <f t="shared" si="25"/>
        <v>7.8047132091115801E-3</v>
      </c>
      <c r="D525" s="5">
        <f t="shared" si="24"/>
        <v>7.8047132091115801E-3</v>
      </c>
      <c r="F525" s="3">
        <v>0.52300000000000002</v>
      </c>
      <c r="G525" s="3">
        <v>1.0650404815082468</v>
      </c>
      <c r="H525" s="3" cm="1">
        <f t="array" ref="H525">SUM((_xlfn.NORM.DIST((F396:F524-F525),0,L525,TRUE)-_xlfn.NORM.DIST((F396:F524-F525-0.001),0,L525,TRUE))*(G396:G524+G526:G654))+G525*_xlfn.NORM.DIST(0,0,L525,TRUE)*2</f>
        <v>1.4660456599886633</v>
      </c>
      <c r="L525" s="3">
        <f t="shared" si="26"/>
        <v>3.0000000000000001E-3</v>
      </c>
    </row>
    <row r="526" spans="1:12" x14ac:dyDescent="0.4">
      <c r="A526" s="3">
        <v>-9.000000000000008E-3</v>
      </c>
      <c r="B526" s="3">
        <v>0.4285762840990992</v>
      </c>
      <c r="C526" s="4">
        <f t="shared" si="25"/>
        <v>7.8359935382023016E-3</v>
      </c>
      <c r="D526" s="5">
        <f t="shared" si="24"/>
        <v>7.8359935382023016E-3</v>
      </c>
      <c r="F526" s="3">
        <v>0.52400000000000002</v>
      </c>
      <c r="G526" s="3">
        <v>1.0576992660934468</v>
      </c>
      <c r="H526" s="3" cm="1">
        <f t="array" ref="H526">SUM((_xlfn.NORM.DIST((F397:F525-F526),0,L526,TRUE)-_xlfn.NORM.DIST((F397:F525-F526-0.001),0,L526,TRUE))*(G397:G525+G527:G655))+G526*_xlfn.NORM.DIST(0,0,L526,TRUE)*2</f>
        <v>1.4557723342128848</v>
      </c>
      <c r="L526" s="3">
        <f t="shared" si="26"/>
        <v>3.0000000000000001E-3</v>
      </c>
    </row>
    <row r="527" spans="1:12" x14ac:dyDescent="0.4">
      <c r="A527" s="3">
        <v>-8.0000000000000071E-3</v>
      </c>
      <c r="B527" s="3">
        <v>0.43644053710856712</v>
      </c>
      <c r="C527" s="4">
        <f t="shared" si="25"/>
        <v>7.8642530094679142E-3</v>
      </c>
      <c r="D527" s="5">
        <f t="shared" si="24"/>
        <v>7.8642530094679142E-3</v>
      </c>
      <c r="F527" s="3">
        <v>0.52500000000000002</v>
      </c>
      <c r="G527" s="3">
        <v>1.0505650728285174</v>
      </c>
      <c r="H527" s="3" cm="1">
        <f t="array" ref="H527">SUM((_xlfn.NORM.DIST((F398:F526-F527),0,L527,TRUE)-_xlfn.NORM.DIST((F398:F526-F527-0.001),0,L527,TRUE))*(G398:G526+G528:G656))+G527*_xlfn.NORM.DIST(0,0,L527,TRUE)*2</f>
        <v>1.4457920108713209</v>
      </c>
      <c r="L527" s="3">
        <f t="shared" si="26"/>
        <v>3.0000000000000001E-3</v>
      </c>
    </row>
    <row r="528" spans="1:12" x14ac:dyDescent="0.4">
      <c r="A528" s="3">
        <v>-7.0000000000000062E-3</v>
      </c>
      <c r="B528" s="3">
        <v>0.4443299951940935</v>
      </c>
      <c r="C528" s="4">
        <f t="shared" si="25"/>
        <v>7.8894580855263796E-3</v>
      </c>
      <c r="D528" s="5">
        <f t="shared" si="24"/>
        <v>7.8894580855263796E-3</v>
      </c>
      <c r="F528" s="3">
        <v>0.52600000000000002</v>
      </c>
      <c r="G528" s="3">
        <v>1.0436292664390894</v>
      </c>
      <c r="H528" s="3" cm="1">
        <f t="array" ref="H528">SUM((_xlfn.NORM.DIST((F399:F527-F528),0,L528,TRUE)-_xlfn.NORM.DIST((F399:F527-F528-0.001),0,L528,TRUE))*(G399:G527+G529:G657))+G528*_xlfn.NORM.DIST(0,0,L528,TRUE)*2</f>
        <v>1.4360923251401507</v>
      </c>
      <c r="L528" s="3">
        <f t="shared" si="26"/>
        <v>3.0000000000000001E-3</v>
      </c>
    </row>
    <row r="529" spans="1:12" x14ac:dyDescent="0.4">
      <c r="A529" s="3">
        <v>-6.0000000000000053E-3</v>
      </c>
      <c r="B529" s="3">
        <v>0.45224157397941611</v>
      </c>
      <c r="C529" s="4">
        <f t="shared" si="25"/>
        <v>7.9115787853226149E-3</v>
      </c>
      <c r="D529" s="5">
        <f t="shared" si="24"/>
        <v>7.9115787853226149E-3</v>
      </c>
      <c r="F529" s="3">
        <v>0.52700000000000002</v>
      </c>
      <c r="G529" s="3">
        <v>1.0368836853224521</v>
      </c>
      <c r="H529" s="3" cm="1">
        <f t="array" ref="H529">SUM((_xlfn.NORM.DIST((F400:F528-F529),0,L529,TRUE)-_xlfn.NORM.DIST((F400:F528-F529-0.001),0,L529,TRUE))*(G400:G528+G530:G658))+G529*_xlfn.NORM.DIST(0,0,L529,TRUE)*2</f>
        <v>1.4266615986258762</v>
      </c>
      <c r="L529" s="3">
        <f t="shared" si="26"/>
        <v>3.0000000000000001E-3</v>
      </c>
    </row>
    <row r="530" spans="1:12" x14ac:dyDescent="0.4">
      <c r="A530" s="3">
        <v>-5.0000000000000044E-3</v>
      </c>
      <c r="B530" s="3">
        <v>0.46017216272297096</v>
      </c>
      <c r="C530" s="4">
        <f t="shared" si="25"/>
        <v>7.930588743554845E-3</v>
      </c>
      <c r="D530" s="5">
        <f t="shared" si="24"/>
        <v>7.930588743554845E-3</v>
      </c>
      <c r="F530" s="3">
        <v>0.52800000000000002</v>
      </c>
      <c r="G530" s="3">
        <v>1.0303206095089505</v>
      </c>
      <c r="H530" s="3" cm="1">
        <f t="array" ref="H530">SUM((_xlfn.NORM.DIST((F401:F529-F530),0,L530,TRUE)-_xlfn.NORM.DIST((F401:F529-F530-0.001),0,L530,TRUE))*(G401:G529+G531:G659))+G530*_xlfn.NORM.DIST(0,0,L530,TRUE)*2</f>
        <v>1.4174887923592865</v>
      </c>
      <c r="L530" s="3">
        <f t="shared" si="26"/>
        <v>3.0000000000000001E-3</v>
      </c>
    </row>
    <row r="531" spans="1:12" x14ac:dyDescent="0.4">
      <c r="A531" s="3">
        <v>-4.0000000000000036E-3</v>
      </c>
      <c r="B531" s="3">
        <v>0.46811862798601256</v>
      </c>
      <c r="C531" s="4">
        <f t="shared" si="25"/>
        <v>7.9464652630416022E-3</v>
      </c>
      <c r="D531" s="5">
        <f t="shared" si="24"/>
        <v>7.9464652630416022E-3</v>
      </c>
      <c r="F531" s="3">
        <v>0.52900000000000003</v>
      </c>
      <c r="G531" s="3">
        <v>1.0239327311890956</v>
      </c>
      <c r="H531" s="3" cm="1">
        <f t="array" ref="H531">SUM((_xlfn.NORM.DIST((F402:F530-F531),0,L531,TRUE)-_xlfn.NORM.DIST((F402:F530-F531-0.001),0,L531,TRUE))*(G402:G530+G532:G660))+G531*_xlfn.NORM.DIST(0,0,L531,TRUE)*2</f>
        <v>1.4085634636019138</v>
      </c>
      <c r="L531" s="3">
        <f t="shared" si="26"/>
        <v>3.0000000000000001E-3</v>
      </c>
    </row>
    <row r="532" spans="1:12" x14ac:dyDescent="0.4">
      <c r="A532" s="3">
        <v>-3.0000000000000027E-3</v>
      </c>
      <c r="B532" s="3">
        <v>0.47607781734589311</v>
      </c>
      <c r="C532" s="4">
        <f t="shared" si="25"/>
        <v>7.9591893598805474E-3</v>
      </c>
      <c r="D532" s="5">
        <f t="shared" si="24"/>
        <v>7.9591893598805474E-3</v>
      </c>
      <c r="F532" s="3">
        <v>0.53</v>
      </c>
      <c r="G532" s="3">
        <v>1.0177131275699864</v>
      </c>
      <c r="H532" s="3" cm="1">
        <f t="array" ref="H532">SUM((_xlfn.NORM.DIST((F403:F531-F532),0,L532,TRUE)-_xlfn.NORM.DIST((F403:F531-F532-0.001),0,L532,TRUE))*(G403:G531+G533:G661))+G532*_xlfn.NORM.DIST(0,0,L532,TRUE)*2</f>
        <v>1.3998757261089982</v>
      </c>
      <c r="L532" s="3">
        <f t="shared" si="26"/>
        <v>3.0000000000000001E-3</v>
      </c>
    </row>
    <row r="533" spans="1:12" x14ac:dyDescent="0.4">
      <c r="A533" s="3">
        <v>-2.0000000000000018E-3</v>
      </c>
      <c r="B533" s="3">
        <v>0.48404656314716921</v>
      </c>
      <c r="C533" s="4">
        <f t="shared" si="25"/>
        <v>7.9687458012761003E-3</v>
      </c>
      <c r="D533" s="5">
        <f t="shared" si="24"/>
        <v>7.9687458012761003E-3</v>
      </c>
      <c r="F533" s="3">
        <v>0.53100000000000003</v>
      </c>
      <c r="G533" s="3">
        <v>1.0116552358488615</v>
      </c>
      <c r="H533" s="3" cm="1">
        <f t="array" ref="H533">SUM((_xlfn.NORM.DIST((F404:F532-F533),0,L533,TRUE)-_xlfn.NORM.DIST((F404:F532-F533-0.001),0,L533,TRUE))*(G404:G532+G534:G662))+G533*_xlfn.NORM.DIST(0,0,L533,TRUE)*2</f>
        <v>1.3914162135301467</v>
      </c>
      <c r="L533" s="3">
        <f t="shared" si="26"/>
        <v>3.0000000000000001E-3</v>
      </c>
    </row>
    <row r="534" spans="1:12" x14ac:dyDescent="0.4">
      <c r="A534" s="3">
        <v>-1.0000000000000009E-3</v>
      </c>
      <c r="B534" s="3">
        <v>0.492021686283098</v>
      </c>
      <c r="C534" s="4">
        <f t="shared" si="25"/>
        <v>7.9751231359287966E-3</v>
      </c>
      <c r="D534" s="5">
        <f>C534</f>
        <v>7.9751231359287966E-3</v>
      </c>
      <c r="F534" s="3">
        <v>0.53200000000000003</v>
      </c>
      <c r="G534" s="3">
        <v>1.0057528301137002</v>
      </c>
      <c r="H534" s="3" cm="1">
        <f t="array" ref="H534">SUM((_xlfn.NORM.DIST((F405:F533-F534),0,L534,TRUE)-_xlfn.NORM.DIST((F405:F533-F534-0.001),0,L534,TRUE))*(G405:G533+G535:G663))+G534*_xlfn.NORM.DIST(0,0,L534,TRUE)*2</f>
        <v>1.3831760456623394</v>
      </c>
      <c r="L534" s="3">
        <f t="shared" si="26"/>
        <v>3.0000000000000001E-3</v>
      </c>
    </row>
    <row r="535" spans="1:12" x14ac:dyDescent="0.4">
      <c r="A535" s="3">
        <v>0</v>
      </c>
      <c r="B535" s="3">
        <v>0.5</v>
      </c>
      <c r="C535" s="4">
        <f t="shared" si="25"/>
        <v>7.9783137169019969E-3</v>
      </c>
      <c r="D535" s="5">
        <f>C535*2</f>
        <v>1.5956627433803994E-2</v>
      </c>
      <c r="F535" s="3">
        <v>0.53300000000000003</v>
      </c>
      <c r="G535" s="3">
        <v>1</v>
      </c>
      <c r="H535" s="3" cm="1">
        <f t="array" ref="H535">SUM((_xlfn.NORM.DIST((F406:F534-F535),0,L535,TRUE)-_xlfn.NORM.DIST((F406:F534-F535-0.001),0,L535,TRUE))*(G406:G534+G536:G664))+G535*_xlfn.NORM.DIST(0,0,L535,TRUE)*2</f>
        <v>1.375146797299184</v>
      </c>
      <c r="L535" s="3">
        <f t="shared" si="26"/>
        <v>3.0000000000000001E-3</v>
      </c>
    </row>
    <row r="536" spans="1:12" x14ac:dyDescent="0.4">
      <c r="A536" s="3">
        <v>1E-3</v>
      </c>
      <c r="B536" s="3">
        <v>0.50797831371690205</v>
      </c>
      <c r="C536" s="4">
        <f t="shared" si="25"/>
        <v>7.9783137169020524E-3</v>
      </c>
    </row>
    <row r="537" spans="1:12" x14ac:dyDescent="0.4">
      <c r="A537" s="3">
        <v>2E-3</v>
      </c>
      <c r="B537" s="3">
        <v>0.51595343685283068</v>
      </c>
      <c r="C537" s="4">
        <f t="shared" si="25"/>
        <v>7.9751231359286301E-3</v>
      </c>
    </row>
    <row r="538" spans="1:12" x14ac:dyDescent="0.4">
      <c r="A538" s="3">
        <v>3.0000000000000001E-3</v>
      </c>
      <c r="B538" s="3">
        <v>0.52392218265410684</v>
      </c>
      <c r="C538" s="4">
        <f t="shared" si="25"/>
        <v>7.9687458012761558E-3</v>
      </c>
    </row>
    <row r="539" spans="1:12" x14ac:dyDescent="0.4">
      <c r="A539" s="3">
        <v>4.0000000000000001E-3</v>
      </c>
      <c r="B539" s="3">
        <v>0.53188137201398744</v>
      </c>
      <c r="C539" s="4">
        <f t="shared" si="25"/>
        <v>7.9591893598806029E-3</v>
      </c>
    </row>
    <row r="540" spans="1:12" x14ac:dyDescent="0.4">
      <c r="A540" s="3">
        <v>5.0000000000000001E-3</v>
      </c>
      <c r="B540" s="3">
        <v>0.53982783727702899</v>
      </c>
      <c r="C540" s="4">
        <f t="shared" si="25"/>
        <v>7.9464652630415467E-3</v>
      </c>
    </row>
    <row r="541" spans="1:12" x14ac:dyDescent="0.4">
      <c r="A541" s="3">
        <v>6.0000000000000001E-3</v>
      </c>
      <c r="B541" s="3">
        <v>0.54775842602058389</v>
      </c>
      <c r="C541" s="4">
        <f t="shared" si="25"/>
        <v>7.9305887435549005E-3</v>
      </c>
    </row>
    <row r="542" spans="1:12" x14ac:dyDescent="0.4">
      <c r="A542" s="3">
        <v>7.0000000000000001E-3</v>
      </c>
      <c r="B542" s="3">
        <v>0.55567000480590645</v>
      </c>
      <c r="C542" s="4">
        <f t="shared" si="25"/>
        <v>7.9115787853225594E-3</v>
      </c>
    </row>
    <row r="543" spans="1:12" x14ac:dyDescent="0.4">
      <c r="A543" s="3">
        <v>8.0000000000000002E-3</v>
      </c>
      <c r="B543" s="3">
        <v>0.56355946289143288</v>
      </c>
      <c r="C543" s="4">
        <f t="shared" si="25"/>
        <v>7.8894580855264351E-3</v>
      </c>
    </row>
    <row r="544" spans="1:12" x14ac:dyDescent="0.4">
      <c r="A544" s="3">
        <v>9.0000000000000011E-3</v>
      </c>
      <c r="B544" s="3">
        <v>0.5714237159009008</v>
      </c>
      <c r="C544" s="4">
        <f t="shared" si="25"/>
        <v>7.8642530094679142E-3</v>
      </c>
    </row>
    <row r="545" spans="1:3" x14ac:dyDescent="0.4">
      <c r="A545" s="3">
        <v>0.01</v>
      </c>
      <c r="B545" s="3">
        <v>0.57925970943910299</v>
      </c>
      <c r="C545" s="4">
        <f t="shared" si="25"/>
        <v>7.8359935382021906E-3</v>
      </c>
    </row>
    <row r="546" spans="1:3" x14ac:dyDescent="0.4">
      <c r="A546" s="3">
        <v>1.0999999999999999E-2</v>
      </c>
      <c r="B546" s="3">
        <v>0.58706442264821468</v>
      </c>
      <c r="C546" s="4">
        <f t="shared" si="25"/>
        <v>7.8047132091116911E-3</v>
      </c>
    </row>
    <row r="547" spans="1:3" x14ac:dyDescent="0.4">
      <c r="A547" s="3">
        <v>1.2E-2</v>
      </c>
      <c r="B547" s="3">
        <v>0.59483487169779581</v>
      </c>
      <c r="C547" s="4">
        <f t="shared" si="25"/>
        <v>7.7704490495811296E-3</v>
      </c>
    </row>
    <row r="548" spans="1:3" x14ac:dyDescent="0.4">
      <c r="A548" s="3">
        <v>1.3000000000000001E-2</v>
      </c>
      <c r="B548" s="3">
        <v>0.60256811320176051</v>
      </c>
      <c r="C548" s="4">
        <f t="shared" si="25"/>
        <v>7.7332415039647051E-3</v>
      </c>
    </row>
    <row r="549" spans="1:3" x14ac:dyDescent="0.4">
      <c r="A549" s="3">
        <v>1.4E-2</v>
      </c>
      <c r="B549" s="3">
        <v>0.61026124755579725</v>
      </c>
      <c r="C549" s="4">
        <f t="shared" si="25"/>
        <v>7.6931343540367347E-3</v>
      </c>
    </row>
    <row r="550" spans="1:3" x14ac:dyDescent="0.4">
      <c r="A550" s="3">
        <v>1.4999999999999999E-2</v>
      </c>
      <c r="B550" s="3">
        <v>0.61791142218895267</v>
      </c>
      <c r="C550" s="4">
        <f t="shared" si="25"/>
        <v>7.6501746331554266E-3</v>
      </c>
    </row>
    <row r="551" spans="1:3" x14ac:dyDescent="0.4">
      <c r="A551" s="3">
        <v>1.6E-2</v>
      </c>
      <c r="B551" s="3">
        <v>0.62551583472332006</v>
      </c>
      <c r="C551" s="4">
        <f t="shared" si="25"/>
        <v>7.6044125343673885E-3</v>
      </c>
    </row>
    <row r="552" spans="1:3" x14ac:dyDescent="0.4">
      <c r="A552" s="3">
        <v>1.7000000000000001E-2</v>
      </c>
      <c r="B552" s="3">
        <v>0.63307173603602807</v>
      </c>
      <c r="C552" s="4">
        <f t="shared" si="25"/>
        <v>7.5559013127080021E-3</v>
      </c>
    </row>
    <row r="553" spans="1:3" x14ac:dyDescent="0.4">
      <c r="A553" s="3">
        <v>1.8000000000000002E-2</v>
      </c>
      <c r="B553" s="3">
        <v>0.64057643321799129</v>
      </c>
      <c r="C553" s="4">
        <f t="shared" si="25"/>
        <v>7.5046971819632269E-3</v>
      </c>
    </row>
    <row r="554" spans="1:3" x14ac:dyDescent="0.4">
      <c r="A554" s="3">
        <v>1.9E-2</v>
      </c>
      <c r="B554" s="3">
        <v>0.64802729242416279</v>
      </c>
      <c r="C554" s="4">
        <f t="shared" si="25"/>
        <v>7.4508592061715007E-3</v>
      </c>
    </row>
    <row r="555" spans="1:3" x14ac:dyDescent="0.4">
      <c r="A555" s="3">
        <v>0.02</v>
      </c>
      <c r="B555" s="3">
        <v>0.65542174161032418</v>
      </c>
      <c r="C555" s="4">
        <f t="shared" si="25"/>
        <v>7.3944491861613892E-3</v>
      </c>
    </row>
    <row r="556" spans="1:3" x14ac:dyDescent="0.4">
      <c r="A556" s="3">
        <v>2.1000000000000001E-2</v>
      </c>
      <c r="B556" s="3">
        <v>0.66275727315175048</v>
      </c>
      <c r="C556" s="4">
        <f t="shared" si="25"/>
        <v>7.3355315414262989E-3</v>
      </c>
    </row>
    <row r="557" spans="1:3" x14ac:dyDescent="0.4">
      <c r="A557" s="3">
        <v>2.1999999999999999E-2</v>
      </c>
      <c r="B557" s="3">
        <v>0.67003144633940637</v>
      </c>
      <c r="C557" s="4">
        <f t="shared" si="25"/>
        <v>7.2741731876558857E-3</v>
      </c>
    </row>
    <row r="558" spans="1:3" x14ac:dyDescent="0.4">
      <c r="A558" s="3">
        <v>2.3E-2</v>
      </c>
      <c r="B558" s="3">
        <v>0.67724188974965227</v>
      </c>
      <c r="C558" s="4">
        <f t="shared" si="25"/>
        <v>7.2104434102459036E-3</v>
      </c>
    </row>
    <row r="559" spans="1:3" x14ac:dyDescent="0.4">
      <c r="A559" s="3">
        <v>2.4E-2</v>
      </c>
      <c r="B559" s="3">
        <v>0.68438630348377738</v>
      </c>
      <c r="C559" s="4">
        <f t="shared" si="25"/>
        <v>7.1444137341251102E-3</v>
      </c>
    </row>
    <row r="560" spans="1:3" x14ac:dyDescent="0.4">
      <c r="A560" s="3">
        <v>2.5000000000000001E-2</v>
      </c>
      <c r="B560" s="3">
        <v>0.69146246127401312</v>
      </c>
      <c r="C560" s="4">
        <f t="shared" si="25"/>
        <v>7.0761577902357375E-3</v>
      </c>
    </row>
    <row r="561" spans="1:3" x14ac:dyDescent="0.4">
      <c r="A561" s="3">
        <v>2.6000000000000002E-2</v>
      </c>
      <c r="B561" s="3">
        <v>0.69846821245303381</v>
      </c>
      <c r="C561" s="4">
        <f t="shared" si="25"/>
        <v>7.0057511790206917E-3</v>
      </c>
    </row>
    <row r="562" spans="1:3" x14ac:dyDescent="0.4">
      <c r="A562" s="3">
        <v>2.7E-2</v>
      </c>
      <c r="B562" s="3">
        <v>0.70540148378430201</v>
      </c>
      <c r="C562" s="4">
        <f t="shared" si="25"/>
        <v>6.9332713312681982E-3</v>
      </c>
    </row>
    <row r="563" spans="1:3" x14ac:dyDescent="0.4">
      <c r="A563" s="3">
        <v>2.8000000000000001E-2</v>
      </c>
      <c r="B563" s="3">
        <v>0.71226028115097295</v>
      </c>
      <c r="C563" s="4">
        <f t="shared" si="25"/>
        <v>6.8587973666709434E-3</v>
      </c>
    </row>
    <row r="564" spans="1:3" x14ac:dyDescent="0.4">
      <c r="A564" s="3">
        <v>2.9000000000000001E-2</v>
      </c>
      <c r="B564" s="3">
        <v>0.7190426911014357</v>
      </c>
      <c r="C564" s="4">
        <f t="shared" si="25"/>
        <v>6.7824099504627533E-3</v>
      </c>
    </row>
    <row r="565" spans="1:3" x14ac:dyDescent="0.4">
      <c r="A565" s="3">
        <v>0.03</v>
      </c>
      <c r="B565" s="3">
        <v>0.72574688224992645</v>
      </c>
      <c r="C565" s="4">
        <f t="shared" si="25"/>
        <v>6.7041911484907457E-3</v>
      </c>
    </row>
    <row r="566" spans="1:3" x14ac:dyDescent="0.4">
      <c r="A566" s="3">
        <v>3.1E-2</v>
      </c>
      <c r="B566" s="3">
        <v>0.732371106531017</v>
      </c>
      <c r="C566" s="4">
        <f t="shared" si="25"/>
        <v>6.6242242810905516E-3</v>
      </c>
    </row>
    <row r="567" spans="1:3" x14ac:dyDescent="0.4">
      <c r="A567" s="3">
        <v>3.2000000000000001E-2</v>
      </c>
      <c r="B567" s="3">
        <v>0.73891370030713843</v>
      </c>
      <c r="C567" s="4">
        <f t="shared" si="25"/>
        <v>6.5425937761214303E-3</v>
      </c>
    </row>
    <row r="568" spans="1:3" x14ac:dyDescent="0.4">
      <c r="A568" s="3">
        <v>3.3000000000000002E-2</v>
      </c>
      <c r="B568" s="3">
        <v>0.74537308532866398</v>
      </c>
      <c r="C568" s="4">
        <f t="shared" si="25"/>
        <v>6.4593850215255433E-3</v>
      </c>
    </row>
    <row r="569" spans="1:3" x14ac:dyDescent="0.4">
      <c r="A569" s="3">
        <v>3.4000000000000002E-2</v>
      </c>
      <c r="B569" s="3">
        <v>0.75174776954642952</v>
      </c>
      <c r="C569" s="4">
        <f t="shared" si="25"/>
        <v>6.3746842177655472E-3</v>
      </c>
    </row>
    <row r="570" spans="1:3" x14ac:dyDescent="0.4">
      <c r="A570" s="3">
        <v>3.5000000000000003E-2</v>
      </c>
      <c r="B570" s="3">
        <v>0.75803634777692697</v>
      </c>
      <c r="C570" s="4">
        <f t="shared" si="25"/>
        <v>6.2885782304974436E-3</v>
      </c>
    </row>
    <row r="571" spans="1:3" x14ac:dyDescent="0.4">
      <c r="A571" s="3">
        <v>3.6000000000000004E-2</v>
      </c>
      <c r="B571" s="3">
        <v>0.76423750222074882</v>
      </c>
      <c r="C571" s="4">
        <f t="shared" si="25"/>
        <v>6.2011544438218547E-3</v>
      </c>
    </row>
    <row r="572" spans="1:3" x14ac:dyDescent="0.4">
      <c r="A572" s="3">
        <v>3.6999999999999998E-2</v>
      </c>
      <c r="B572" s="3">
        <v>0.77035000283520938</v>
      </c>
      <c r="C572" s="4">
        <f t="shared" si="25"/>
        <v>6.1125006144605587E-3</v>
      </c>
    </row>
    <row r="573" spans="1:3" x14ac:dyDescent="0.4">
      <c r="A573" s="3">
        <v>3.7999999999999999E-2</v>
      </c>
      <c r="B573" s="3">
        <v>0.77637270756240051</v>
      </c>
      <c r="C573" s="4">
        <f t="shared" si="25"/>
        <v>6.0227047271911305E-3</v>
      </c>
    </row>
    <row r="574" spans="1:3" x14ac:dyDescent="0.4">
      <c r="A574" s="3">
        <v>3.9E-2</v>
      </c>
      <c r="B574" s="3">
        <v>0.78230456241426682</v>
      </c>
      <c r="C574" s="4">
        <f t="shared" si="25"/>
        <v>5.9318548518663139E-3</v>
      </c>
    </row>
    <row r="575" spans="1:3" x14ac:dyDescent="0.4">
      <c r="A575" s="3">
        <v>0.04</v>
      </c>
      <c r="B575" s="3">
        <v>0.78814460141660336</v>
      </c>
      <c r="C575" s="4">
        <f t="shared" si="25"/>
        <v>5.8400390023365389E-3</v>
      </c>
    </row>
    <row r="576" spans="1:3" x14ac:dyDescent="0.4">
      <c r="A576" s="3">
        <v>4.1000000000000002E-2</v>
      </c>
      <c r="B576" s="3">
        <v>0.79389194641418692</v>
      </c>
      <c r="C576" s="4">
        <f t="shared" si="25"/>
        <v>5.7473449975835589E-3</v>
      </c>
    </row>
    <row r="577" spans="1:3" x14ac:dyDescent="0.4">
      <c r="A577" s="3">
        <v>4.2000000000000003E-2</v>
      </c>
      <c r="B577" s="3">
        <v>0.79954580673955034</v>
      </c>
      <c r="C577" s="4">
        <f t="shared" si="25"/>
        <v>5.6538603253634134E-3</v>
      </c>
    </row>
    <row r="578" spans="1:3" x14ac:dyDescent="0.4">
      <c r="A578" s="3">
        <v>4.3000000000000003E-2</v>
      </c>
      <c r="B578" s="3">
        <v>0.80510547874819172</v>
      </c>
      <c r="C578" s="4">
        <f t="shared" si="25"/>
        <v>5.5596720086413809E-3</v>
      </c>
    </row>
    <row r="579" spans="1:3" x14ac:dyDescent="0.4">
      <c r="A579" s="3">
        <v>4.3999999999999997E-2</v>
      </c>
      <c r="B579" s="3">
        <v>0.81057034522328786</v>
      </c>
      <c r="C579" s="4">
        <f t="shared" ref="C579:C642" si="27">B579-B578</f>
        <v>5.4648664750961418E-3</v>
      </c>
    </row>
    <row r="580" spans="1:3" x14ac:dyDescent="0.4">
      <c r="A580" s="3">
        <v>4.4999999999999998E-2</v>
      </c>
      <c r="B580" s="3">
        <v>0.81593987465324047</v>
      </c>
      <c r="C580" s="4">
        <f t="shared" si="27"/>
        <v>5.3695294299526131E-3</v>
      </c>
    </row>
    <row r="581" spans="1:3" x14ac:dyDescent="0.4">
      <c r="A581" s="3">
        <v>4.5999999999999999E-2</v>
      </c>
      <c r="B581" s="3">
        <v>0.82121362038562828</v>
      </c>
      <c r="C581" s="4">
        <f t="shared" si="27"/>
        <v>5.2737457323878134E-3</v>
      </c>
    </row>
    <row r="582" spans="1:3" x14ac:dyDescent="0.4">
      <c r="A582" s="3">
        <v>4.7E-2</v>
      </c>
      <c r="B582" s="3">
        <v>0.82639121966137541</v>
      </c>
      <c r="C582" s="4">
        <f t="shared" si="27"/>
        <v>5.1775992757471245E-3</v>
      </c>
    </row>
    <row r="583" spans="1:3" x14ac:dyDescent="0.4">
      <c r="A583" s="3">
        <v>4.8000000000000001E-2</v>
      </c>
      <c r="B583" s="3">
        <v>0.83147239253316219</v>
      </c>
      <c r="C583" s="4">
        <f t="shared" si="27"/>
        <v>5.0811728717867766E-3</v>
      </c>
    </row>
    <row r="584" spans="1:3" x14ac:dyDescent="0.4">
      <c r="A584" s="3">
        <v>4.9000000000000002E-2</v>
      </c>
      <c r="B584" s="3">
        <v>0.83645694067230769</v>
      </c>
      <c r="C584" s="4">
        <f t="shared" si="27"/>
        <v>4.984548139145506E-3</v>
      </c>
    </row>
    <row r="585" spans="1:3" x14ac:dyDescent="0.4">
      <c r="A585" s="3">
        <v>0.05</v>
      </c>
      <c r="B585" s="3">
        <v>0.84134474606854304</v>
      </c>
      <c r="C585" s="4">
        <f t="shared" si="27"/>
        <v>4.8878053962353452E-3</v>
      </c>
    </row>
    <row r="586" spans="1:3" x14ac:dyDescent="0.4">
      <c r="A586" s="3">
        <v>5.1000000000000004E-2</v>
      </c>
      <c r="B586" s="3">
        <v>0.84613576962726511</v>
      </c>
      <c r="C586" s="4">
        <f t="shared" si="27"/>
        <v>4.791023558722074E-3</v>
      </c>
    </row>
    <row r="587" spans="1:3" x14ac:dyDescent="0.4">
      <c r="A587" s="3">
        <v>5.2000000000000005E-2</v>
      </c>
      <c r="B587" s="3">
        <v>0.85083004966901865</v>
      </c>
      <c r="C587" s="4">
        <f t="shared" si="27"/>
        <v>4.6942800417535402E-3</v>
      </c>
    </row>
    <row r="588" spans="1:3" x14ac:dyDescent="0.4">
      <c r="A588" s="3">
        <v>5.2999999999999999E-2</v>
      </c>
      <c r="B588" s="3">
        <v>0.85542770033609039</v>
      </c>
      <c r="C588" s="4">
        <f t="shared" si="27"/>
        <v>4.5976506670717399E-3</v>
      </c>
    </row>
    <row r="589" spans="1:3" x14ac:dyDescent="0.4">
      <c r="A589" s="3">
        <v>5.3999999999999999E-2</v>
      </c>
      <c r="B589" s="3">
        <v>0.85992890991123094</v>
      </c>
      <c r="C589" s="4">
        <f t="shared" si="27"/>
        <v>4.5012095751405523E-3</v>
      </c>
    </row>
    <row r="590" spans="1:3" x14ac:dyDescent="0.4">
      <c r="A590" s="3">
        <v>5.5E-2</v>
      </c>
      <c r="B590" s="3">
        <v>0.86433393905361733</v>
      </c>
      <c r="C590" s="4">
        <f t="shared" si="27"/>
        <v>4.4050291423863852E-3</v>
      </c>
    </row>
    <row r="591" spans="1:3" x14ac:dyDescent="0.4">
      <c r="A591" s="3">
        <v>5.6000000000000001E-2</v>
      </c>
      <c r="B591" s="3">
        <v>0.86864311895726931</v>
      </c>
      <c r="C591" s="4">
        <f t="shared" si="27"/>
        <v>4.3091799036519829E-3</v>
      </c>
    </row>
    <row r="592" spans="1:3" x14ac:dyDescent="0.4">
      <c r="A592" s="3">
        <v>5.7000000000000002E-2</v>
      </c>
      <c r="B592" s="3">
        <v>0.87285684943720176</v>
      </c>
      <c r="C592" s="4">
        <f t="shared" si="27"/>
        <v>4.2137304799324538E-3</v>
      </c>
    </row>
    <row r="593" spans="1:3" x14ac:dyDescent="0.4">
      <c r="A593" s="3">
        <v>5.8000000000000003E-2</v>
      </c>
      <c r="B593" s="3">
        <v>0.87697559694865657</v>
      </c>
      <c r="C593" s="4">
        <f t="shared" si="27"/>
        <v>4.1187475114548011E-3</v>
      </c>
    </row>
    <row r="594" spans="1:3" x14ac:dyDescent="0.4">
      <c r="A594" s="3">
        <v>5.9000000000000004E-2</v>
      </c>
      <c r="B594" s="3">
        <v>0.88099989254479927</v>
      </c>
      <c r="C594" s="4">
        <f t="shared" si="27"/>
        <v>4.0242955961427018E-3</v>
      </c>
    </row>
    <row r="595" spans="1:3" x14ac:dyDescent="0.4">
      <c r="A595" s="3">
        <v>0.06</v>
      </c>
      <c r="B595" s="3">
        <v>0.88493032977829178</v>
      </c>
      <c r="C595" s="4">
        <f t="shared" si="27"/>
        <v>3.930437233492512E-3</v>
      </c>
    </row>
    <row r="596" spans="1:3" x14ac:dyDescent="0.4">
      <c r="A596" s="3">
        <v>6.0999999999999999E-2</v>
      </c>
      <c r="B596" s="3">
        <v>0.88876756255216538</v>
      </c>
      <c r="C596" s="4">
        <f t="shared" si="27"/>
        <v>3.8372327738736001E-3</v>
      </c>
    </row>
    <row r="597" spans="1:3" x14ac:dyDescent="0.4">
      <c r="A597" s="3">
        <v>6.2E-2</v>
      </c>
      <c r="B597" s="3">
        <v>0.89251230292541306</v>
      </c>
      <c r="C597" s="4">
        <f t="shared" si="27"/>
        <v>3.7447403732476792E-3</v>
      </c>
    </row>
    <row r="598" spans="1:3" x14ac:dyDescent="0.4">
      <c r="A598" s="3">
        <v>6.3E-2</v>
      </c>
      <c r="B598" s="3">
        <v>0.89616531887869966</v>
      </c>
      <c r="C598" s="4">
        <f t="shared" si="27"/>
        <v>3.653015953286598E-3</v>
      </c>
    </row>
    <row r="599" spans="1:3" x14ac:dyDescent="0.4">
      <c r="A599" s="3">
        <v>6.4000000000000001E-2</v>
      </c>
      <c r="B599" s="3">
        <v>0.89972743204555794</v>
      </c>
      <c r="C599" s="4">
        <f t="shared" si="27"/>
        <v>3.5621131668582828E-3</v>
      </c>
    </row>
    <row r="600" spans="1:3" x14ac:dyDescent="0.4">
      <c r="A600" s="3">
        <v>6.5000000000000002E-2</v>
      </c>
      <c r="B600" s="3">
        <v>0.9031995154143897</v>
      </c>
      <c r="C600" s="4">
        <f t="shared" si="27"/>
        <v>3.4720833688317576E-3</v>
      </c>
    </row>
    <row r="601" spans="1:3" x14ac:dyDescent="0.4">
      <c r="A601" s="3">
        <v>6.6000000000000003E-2</v>
      </c>
      <c r="B601" s="3">
        <v>0.90658249100652821</v>
      </c>
      <c r="C601" s="4">
        <f t="shared" si="27"/>
        <v>3.3829755921385152E-3</v>
      </c>
    </row>
    <row r="602" spans="1:3" x14ac:dyDescent="0.4">
      <c r="A602" s="3">
        <v>6.7000000000000004E-2</v>
      </c>
      <c r="B602" s="3">
        <v>0.90987732753554751</v>
      </c>
      <c r="C602" s="4">
        <f t="shared" si="27"/>
        <v>3.294836529019296E-3</v>
      </c>
    </row>
    <row r="603" spans="1:3" x14ac:dyDescent="0.4">
      <c r="A603" s="3">
        <v>6.8000000000000005E-2</v>
      </c>
      <c r="B603" s="3">
        <v>0.91308503805291497</v>
      </c>
      <c r="C603" s="4">
        <f t="shared" si="27"/>
        <v>3.2077105173674569E-3</v>
      </c>
    </row>
    <row r="604" spans="1:3" x14ac:dyDescent="0.4">
      <c r="A604" s="3">
        <v>6.9000000000000006E-2</v>
      </c>
      <c r="B604" s="3">
        <v>0.91620667758498575</v>
      </c>
      <c r="C604" s="4">
        <f t="shared" si="27"/>
        <v>3.1216395320707857E-3</v>
      </c>
    </row>
    <row r="605" spans="1:3" x14ac:dyDescent="0.4">
      <c r="A605" s="3">
        <v>7.0000000000000007E-2</v>
      </c>
      <c r="B605" s="3">
        <v>0.91924334076622893</v>
      </c>
      <c r="C605" s="4">
        <f t="shared" si="27"/>
        <v>3.0366631812431821E-3</v>
      </c>
    </row>
    <row r="606" spans="1:3" x14ac:dyDescent="0.4">
      <c r="A606" s="3">
        <v>7.1000000000000008E-2</v>
      </c>
      <c r="B606" s="3">
        <v>0.92219615947345368</v>
      </c>
      <c r="C606" s="4">
        <f t="shared" si="27"/>
        <v>2.9528187072247469E-3</v>
      </c>
    </row>
    <row r="607" spans="1:3" x14ac:dyDescent="0.4">
      <c r="A607" s="3">
        <v>7.2000000000000008E-2</v>
      </c>
      <c r="B607" s="3">
        <v>0.92506630046567295</v>
      </c>
      <c r="C607" s="4">
        <f t="shared" si="27"/>
        <v>2.8701409922192722E-3</v>
      </c>
    </row>
    <row r="608" spans="1:3" x14ac:dyDescent="0.4">
      <c r="A608" s="3">
        <v>7.2999999999999995E-2</v>
      </c>
      <c r="B608" s="3">
        <v>0.92785496303410619</v>
      </c>
      <c r="C608" s="4">
        <f t="shared" si="27"/>
        <v>2.7886625684332422E-3</v>
      </c>
    </row>
    <row r="609" spans="1:3" x14ac:dyDescent="0.4">
      <c r="A609" s="3">
        <v>7.3999999999999996E-2</v>
      </c>
      <c r="B609" s="3">
        <v>0.93056337666666822</v>
      </c>
      <c r="C609" s="4">
        <f t="shared" si="27"/>
        <v>2.7084136325620234E-3</v>
      </c>
    </row>
    <row r="610" spans="1:3" x14ac:dyDescent="0.4">
      <c r="A610" s="3">
        <v>7.4999999999999997E-2</v>
      </c>
      <c r="B610" s="3">
        <v>0.93319279873114191</v>
      </c>
      <c r="C610" s="4">
        <f t="shared" si="27"/>
        <v>2.6294220644736965E-3</v>
      </c>
    </row>
    <row r="611" spans="1:3" x14ac:dyDescent="0.4">
      <c r="A611" s="3">
        <v>7.5999999999999998E-2</v>
      </c>
      <c r="B611" s="3">
        <v>0.93574451218106414</v>
      </c>
      <c r="C611" s="4">
        <f t="shared" si="27"/>
        <v>2.5517134499222216E-3</v>
      </c>
    </row>
    <row r="612" spans="1:3" x14ac:dyDescent="0.4">
      <c r="A612" s="3">
        <v>7.6999999999999999E-2</v>
      </c>
      <c r="B612" s="3">
        <v>0.93821982328818809</v>
      </c>
      <c r="C612" s="4">
        <f t="shared" si="27"/>
        <v>2.4753111071239564E-3</v>
      </c>
    </row>
    <row r="613" spans="1:3" x14ac:dyDescent="0.4">
      <c r="A613" s="3">
        <v>7.8E-2</v>
      </c>
      <c r="B613" s="3">
        <v>0.94062005940520699</v>
      </c>
      <c r="C613" s="4">
        <f t="shared" si="27"/>
        <v>2.4002361170188946E-3</v>
      </c>
    </row>
    <row r="614" spans="1:3" x14ac:dyDescent="0.4">
      <c r="A614" s="3">
        <v>7.9000000000000001E-2</v>
      </c>
      <c r="B614" s="3">
        <v>0.94294656676224575</v>
      </c>
      <c r="C614" s="4">
        <f t="shared" si="27"/>
        <v>2.3265073570387651E-3</v>
      </c>
    </row>
    <row r="615" spans="1:3" x14ac:dyDescent="0.4">
      <c r="A615" s="3">
        <v>0.08</v>
      </c>
      <c r="B615" s="3">
        <v>0.94520070830044201</v>
      </c>
      <c r="C615" s="4">
        <f t="shared" si="27"/>
        <v>2.2541415381962526E-3</v>
      </c>
    </row>
    <row r="616" spans="1:3" x14ac:dyDescent="0.4">
      <c r="A616" s="3">
        <v>8.1000000000000003E-2</v>
      </c>
      <c r="B616" s="3">
        <v>0.94738386154574794</v>
      </c>
      <c r="C616" s="4">
        <f t="shared" si="27"/>
        <v>2.1831532453059355E-3</v>
      </c>
    </row>
    <row r="617" spans="1:3" x14ac:dyDescent="0.4">
      <c r="A617" s="3">
        <v>8.2000000000000003E-2</v>
      </c>
      <c r="B617" s="3">
        <v>0.94949741652589625</v>
      </c>
      <c r="C617" s="4">
        <f t="shared" si="27"/>
        <v>2.1135549801483133E-3</v>
      </c>
    </row>
    <row r="618" spans="1:3" x14ac:dyDescent="0.4">
      <c r="A618" s="3">
        <v>8.3000000000000004E-2</v>
      </c>
      <c r="B618" s="3">
        <v>0.95154277373327711</v>
      </c>
      <c r="C618" s="4">
        <f t="shared" si="27"/>
        <v>2.0453572073808601E-3</v>
      </c>
    </row>
    <row r="619" spans="1:3" x14ac:dyDescent="0.4">
      <c r="A619" s="3">
        <v>8.4000000000000005E-2</v>
      </c>
      <c r="B619" s="3">
        <v>0.95352134213627993</v>
      </c>
      <c r="C619" s="4">
        <f t="shared" si="27"/>
        <v>1.9785684030028117E-3</v>
      </c>
    </row>
    <row r="620" spans="1:3" x14ac:dyDescent="0.4">
      <c r="A620" s="3">
        <v>8.5000000000000006E-2</v>
      </c>
      <c r="B620" s="3">
        <v>0.95543453724145699</v>
      </c>
      <c r="C620" s="4">
        <f t="shared" si="27"/>
        <v>1.9131951051770679E-3</v>
      </c>
    </row>
    <row r="621" spans="1:3" x14ac:dyDescent="0.4">
      <c r="A621" s="3">
        <v>8.6000000000000007E-2</v>
      </c>
      <c r="B621" s="3">
        <v>0.95728377920867114</v>
      </c>
      <c r="C621" s="4">
        <f t="shared" si="27"/>
        <v>1.8492419672141436E-3</v>
      </c>
    </row>
    <row r="622" spans="1:3" x14ac:dyDescent="0.4">
      <c r="A622" s="3">
        <v>8.7000000000000008E-2</v>
      </c>
      <c r="B622" s="3">
        <v>0.95907049102119268</v>
      </c>
      <c r="C622" s="4">
        <f t="shared" si="27"/>
        <v>1.7867118125215464E-3</v>
      </c>
    </row>
    <row r="623" spans="1:3" x14ac:dyDescent="0.4">
      <c r="A623" s="3">
        <v>8.7999999999999995E-2</v>
      </c>
      <c r="B623" s="3">
        <v>0.96079609671251731</v>
      </c>
      <c r="C623" s="4">
        <f t="shared" si="27"/>
        <v>1.7256056913246276E-3</v>
      </c>
    </row>
    <row r="624" spans="1:3" x14ac:dyDescent="0.4">
      <c r="A624" s="3">
        <v>8.8999999999999996E-2</v>
      </c>
      <c r="B624" s="3">
        <v>0.96246201965148315</v>
      </c>
      <c r="C624" s="4">
        <f t="shared" si="27"/>
        <v>1.6659229389658359E-3</v>
      </c>
    </row>
    <row r="625" spans="1:3" x14ac:dyDescent="0.4">
      <c r="A625" s="3">
        <v>0.09</v>
      </c>
      <c r="B625" s="3">
        <v>0.96406968088707423</v>
      </c>
      <c r="C625" s="4">
        <f t="shared" si="27"/>
        <v>1.6076612355910846E-3</v>
      </c>
    </row>
    <row r="626" spans="1:3" x14ac:dyDescent="0.4">
      <c r="A626" s="3">
        <v>9.0999999999999998E-2</v>
      </c>
      <c r="B626" s="3">
        <v>0.96562049755410995</v>
      </c>
      <c r="C626" s="4">
        <f t="shared" si="27"/>
        <v>1.5508166670357149E-3</v>
      </c>
    </row>
    <row r="627" spans="1:3" x14ac:dyDescent="0.4">
      <c r="A627" s="3">
        <v>9.1999999999999998E-2</v>
      </c>
      <c r="B627" s="3">
        <v>0.96711588134083615</v>
      </c>
      <c r="C627" s="4">
        <f t="shared" si="27"/>
        <v>1.495383786726201E-3</v>
      </c>
    </row>
    <row r="628" spans="1:3" x14ac:dyDescent="0.4">
      <c r="A628" s="3">
        <v>9.2999999999999999E-2</v>
      </c>
      <c r="B628" s="3">
        <v>0.96855723701924723</v>
      </c>
      <c r="C628" s="4">
        <f t="shared" si="27"/>
        <v>1.4413556784110826E-3</v>
      </c>
    </row>
    <row r="629" spans="1:3" x14ac:dyDescent="0.4">
      <c r="A629" s="3">
        <v>9.4E-2</v>
      </c>
      <c r="B629" s="3">
        <v>0.96994596103880026</v>
      </c>
      <c r="C629" s="4">
        <f t="shared" si="27"/>
        <v>1.3887240195530337E-3</v>
      </c>
    </row>
    <row r="630" spans="1:3" x14ac:dyDescent="0.4">
      <c r="A630" s="3">
        <v>9.5000000000000001E-2</v>
      </c>
      <c r="B630" s="3">
        <v>0.97128344018399815</v>
      </c>
      <c r="C630" s="4">
        <f t="shared" si="27"/>
        <v>1.337479145197884E-3</v>
      </c>
    </row>
    <row r="631" spans="1:3" x14ac:dyDescent="0.4">
      <c r="A631" s="3">
        <v>9.6000000000000002E-2</v>
      </c>
      <c r="B631" s="3">
        <v>0.9725710502961632</v>
      </c>
      <c r="C631" s="4">
        <f t="shared" si="27"/>
        <v>1.2876101121650496E-3</v>
      </c>
    </row>
    <row r="632" spans="1:3" x14ac:dyDescent="0.4">
      <c r="A632" s="3">
        <v>9.7000000000000003E-2</v>
      </c>
      <c r="B632" s="3">
        <v>0.97381015505954727</v>
      </c>
      <c r="C632" s="4">
        <f t="shared" si="27"/>
        <v>1.2391047633840691E-3</v>
      </c>
    </row>
    <row r="633" spans="1:3" x14ac:dyDescent="0.4">
      <c r="A633" s="3">
        <v>9.8000000000000004E-2</v>
      </c>
      <c r="B633" s="3">
        <v>0.97500210485177952</v>
      </c>
      <c r="C633" s="4">
        <f t="shared" si="27"/>
        <v>1.1919497922322497E-3</v>
      </c>
    </row>
    <row r="634" spans="1:3" x14ac:dyDescent="0.4">
      <c r="A634" s="3">
        <v>9.9000000000000005E-2</v>
      </c>
      <c r="B634" s="3">
        <v>0.97614823565849151</v>
      </c>
      <c r="C634" s="4">
        <f t="shared" si="27"/>
        <v>1.146130806711998E-3</v>
      </c>
    </row>
    <row r="635" spans="1:3" x14ac:dyDescent="0.4">
      <c r="A635" s="3">
        <v>0.1</v>
      </c>
      <c r="B635" s="3">
        <v>0.97724986805182079</v>
      </c>
      <c r="C635" s="4">
        <f t="shared" si="27"/>
        <v>1.1016323933292771E-3</v>
      </c>
    </row>
    <row r="636" spans="1:3" x14ac:dyDescent="0.4">
      <c r="A636" s="3">
        <v>0.10100000000000001</v>
      </c>
      <c r="B636" s="3">
        <v>0.97830830623235321</v>
      </c>
      <c r="C636" s="4">
        <f t="shared" si="27"/>
        <v>1.0584381805324172E-3</v>
      </c>
    </row>
    <row r="637" spans="1:3" x14ac:dyDescent="0.4">
      <c r="A637" s="3">
        <v>0.10200000000000001</v>
      </c>
      <c r="B637" s="3">
        <v>0.97932483713392993</v>
      </c>
      <c r="C637" s="4">
        <f t="shared" si="27"/>
        <v>1.0165309015767177E-3</v>
      </c>
    </row>
    <row r="638" spans="1:3" x14ac:dyDescent="0.4">
      <c r="A638" s="3">
        <v>0.10300000000000001</v>
      </c>
      <c r="B638" s="3">
        <v>0.98030072959062309</v>
      </c>
      <c r="C638" s="4">
        <f t="shared" si="27"/>
        <v>9.7589245669316149E-4</v>
      </c>
    </row>
    <row r="639" spans="1:3" x14ac:dyDescent="0.4">
      <c r="A639" s="3">
        <v>0.10400000000000001</v>
      </c>
      <c r="B639" s="3">
        <v>0.98123723356506221</v>
      </c>
      <c r="C639" s="4">
        <f t="shared" si="27"/>
        <v>9.3650397443911793E-4</v>
      </c>
    </row>
    <row r="640" spans="1:3" x14ac:dyDescent="0.4">
      <c r="A640" s="3">
        <v>0.105</v>
      </c>
      <c r="B640" s="3">
        <v>0.98213557943718344</v>
      </c>
      <c r="C640" s="4">
        <f t="shared" si="27"/>
        <v>8.9834587212123118E-4</v>
      </c>
    </row>
    <row r="641" spans="1:3" x14ac:dyDescent="0.4">
      <c r="A641" s="3">
        <v>0.106</v>
      </c>
      <c r="B641" s="3">
        <v>0.98299697735236724</v>
      </c>
      <c r="C641" s="4">
        <f t="shared" si="27"/>
        <v>8.613979151838036E-4</v>
      </c>
    </row>
    <row r="642" spans="1:3" x14ac:dyDescent="0.4">
      <c r="A642" s="3">
        <v>0.107</v>
      </c>
      <c r="B642" s="3">
        <v>0.98382261662783388</v>
      </c>
      <c r="C642" s="4">
        <f t="shared" si="27"/>
        <v>8.2563927546663862E-4</v>
      </c>
    </row>
    <row r="643" spans="1:3" x14ac:dyDescent="0.4">
      <c r="A643" s="3">
        <v>0.108</v>
      </c>
      <c r="B643" s="3">
        <v>0.98461366521607452</v>
      </c>
      <c r="C643" s="4">
        <f t="shared" ref="C643:C706" si="28">B643-B642</f>
        <v>7.9104858824063928E-4</v>
      </c>
    </row>
    <row r="644" spans="1:3" x14ac:dyDescent="0.4">
      <c r="A644" s="3">
        <v>0.109</v>
      </c>
      <c r="B644" s="3">
        <v>0.98537126922401075</v>
      </c>
      <c r="C644" s="4">
        <f t="shared" si="28"/>
        <v>7.5760400793623006E-4</v>
      </c>
    </row>
    <row r="645" spans="1:3" x14ac:dyDescent="0.4">
      <c r="A645" s="3">
        <v>0.11</v>
      </c>
      <c r="B645" s="3">
        <v>0.98609655248650141</v>
      </c>
      <c r="C645" s="4">
        <f t="shared" si="28"/>
        <v>7.2528326249066133E-4</v>
      </c>
    </row>
    <row r="646" spans="1:3" x14ac:dyDescent="0.4">
      <c r="A646" s="3">
        <v>0.111</v>
      </c>
      <c r="B646" s="3">
        <v>0.98679061619274366</v>
      </c>
      <c r="C646" s="4">
        <f t="shared" si="28"/>
        <v>6.9406370624225389E-4</v>
      </c>
    </row>
    <row r="647" spans="1:3" x14ac:dyDescent="0.4">
      <c r="A647" s="3">
        <v>0.112</v>
      </c>
      <c r="B647" s="3">
        <v>0.98745453856405341</v>
      </c>
      <c r="C647" s="4">
        <f t="shared" si="28"/>
        <v>6.6392237130974419E-4</v>
      </c>
    </row>
    <row r="648" spans="1:3" x14ac:dyDescent="0.4">
      <c r="A648" s="3">
        <v>0.113</v>
      </c>
      <c r="B648" s="3">
        <v>0.98808937458145296</v>
      </c>
      <c r="C648" s="4">
        <f t="shared" si="28"/>
        <v>6.3483601739955375E-4</v>
      </c>
    </row>
    <row r="649" spans="1:3" x14ac:dyDescent="0.4">
      <c r="A649" s="3">
        <v>0.114</v>
      </c>
      <c r="B649" s="3">
        <v>0.9886961557614472</v>
      </c>
      <c r="C649" s="4">
        <f t="shared" si="28"/>
        <v>6.0678117999424241E-4</v>
      </c>
    </row>
    <row r="650" spans="1:3" x14ac:dyDescent="0.4">
      <c r="A650" s="3">
        <v>0.115</v>
      </c>
      <c r="B650" s="3">
        <v>0.98927588997832416</v>
      </c>
      <c r="C650" s="4">
        <f t="shared" si="28"/>
        <v>5.7973421687695925E-4</v>
      </c>
    </row>
    <row r="651" spans="1:3" x14ac:dyDescent="0.4">
      <c r="A651" s="3">
        <v>0.11600000000000001</v>
      </c>
      <c r="B651" s="3">
        <v>0.98982956133128031</v>
      </c>
      <c r="C651" s="4">
        <f t="shared" si="28"/>
        <v>5.5367135295614212E-4</v>
      </c>
    </row>
    <row r="652" spans="1:3" x14ac:dyDescent="0.4">
      <c r="A652" s="3">
        <v>0.11700000000000001</v>
      </c>
      <c r="B652" s="3">
        <v>0.99035813005464168</v>
      </c>
      <c r="C652" s="4">
        <f t="shared" si="28"/>
        <v>5.2856872336137783E-4</v>
      </c>
    </row>
    <row r="653" spans="1:3" x14ac:dyDescent="0.4">
      <c r="A653" s="3">
        <v>0.11800000000000001</v>
      </c>
      <c r="B653" s="3">
        <v>0.99086253246942735</v>
      </c>
      <c r="C653" s="4">
        <f t="shared" si="28"/>
        <v>5.0440241478566517E-4</v>
      </c>
    </row>
    <row r="654" spans="1:3" x14ac:dyDescent="0.4">
      <c r="A654" s="3">
        <v>0.11900000000000001</v>
      </c>
      <c r="B654" s="3">
        <v>0.99134368097448344</v>
      </c>
      <c r="C654" s="4">
        <f t="shared" si="28"/>
        <v>4.8114850505609486E-4</v>
      </c>
    </row>
    <row r="655" spans="1:3" x14ac:dyDescent="0.4">
      <c r="A655" s="3">
        <v>0.12</v>
      </c>
      <c r="B655" s="3">
        <v>0.99180246407540384</v>
      </c>
      <c r="C655" s="4">
        <f t="shared" si="28"/>
        <v>4.5878310092040131E-4</v>
      </c>
    </row>
    <row r="656" spans="1:3" x14ac:dyDescent="0.4">
      <c r="A656" s="3">
        <v>0.121</v>
      </c>
      <c r="B656" s="3">
        <v>0.99223974644944635</v>
      </c>
      <c r="C656" s="4">
        <f t="shared" si="28"/>
        <v>4.3728237404250248E-4</v>
      </c>
    </row>
    <row r="657" spans="1:3" x14ac:dyDescent="0.4">
      <c r="A657" s="3">
        <v>0.122</v>
      </c>
      <c r="B657" s="3">
        <v>0.99265636904465171</v>
      </c>
      <c r="C657" s="4">
        <f t="shared" si="28"/>
        <v>4.166225952053626E-4</v>
      </c>
    </row>
    <row r="658" spans="1:3" x14ac:dyDescent="0.4">
      <c r="A658" s="3">
        <v>0.123</v>
      </c>
      <c r="B658" s="3">
        <v>0.99305314921137566</v>
      </c>
      <c r="C658" s="4">
        <f t="shared" si="28"/>
        <v>3.9678016672395344E-4</v>
      </c>
    </row>
    <row r="659" spans="1:3" x14ac:dyDescent="0.4">
      <c r="A659" s="3">
        <v>0.124</v>
      </c>
      <c r="B659" s="3">
        <v>0.99343088086445319</v>
      </c>
      <c r="C659" s="4">
        <f t="shared" si="28"/>
        <v>3.7773165307752876E-4</v>
      </c>
    </row>
    <row r="660" spans="1:3" x14ac:dyDescent="0.4">
      <c r="A660" s="3">
        <v>0.125</v>
      </c>
      <c r="B660" s="3">
        <v>0.99379033467422384</v>
      </c>
      <c r="C660" s="4">
        <f t="shared" si="28"/>
        <v>3.59453809770649E-4</v>
      </c>
    </row>
    <row r="661" spans="1:3" x14ac:dyDescent="0.4">
      <c r="A661" s="3">
        <v>0.126</v>
      </c>
      <c r="B661" s="3">
        <v>0.99413225828466745</v>
      </c>
      <c r="C661" s="4">
        <f t="shared" si="28"/>
        <v>3.4192361044360631E-4</v>
      </c>
    </row>
    <row r="662" spans="1:3" x14ac:dyDescent="0.4">
      <c r="A662" s="3">
        <v>0.127</v>
      </c>
      <c r="B662" s="3">
        <v>0.99445737655691735</v>
      </c>
      <c r="C662" s="4">
        <f t="shared" si="28"/>
        <v>3.2511827224990242E-4</v>
      </c>
    </row>
    <row r="663" spans="1:3" x14ac:dyDescent="0.4">
      <c r="A663" s="3">
        <v>0.128</v>
      </c>
      <c r="B663" s="3">
        <v>0.99476639183644422</v>
      </c>
      <c r="C663" s="4">
        <f t="shared" si="28"/>
        <v>3.0901527952686969E-4</v>
      </c>
    </row>
    <row r="664" spans="1:3" x14ac:dyDescent="0.4">
      <c r="A664" s="3">
        <v>0.129</v>
      </c>
      <c r="B664" s="3">
        <v>0.99505998424222941</v>
      </c>
      <c r="C664" s="4">
        <f t="shared" si="28"/>
        <v>2.9359240578519241E-4</v>
      </c>
    </row>
    <row r="665" spans="1:3" x14ac:dyDescent="0.4">
      <c r="A665" s="3">
        <v>0.13</v>
      </c>
      <c r="B665" s="3">
        <v>0.99533881197628127</v>
      </c>
      <c r="C665" s="4">
        <f t="shared" si="28"/>
        <v>2.7882773405185635E-4</v>
      </c>
    </row>
    <row r="666" spans="1:3" x14ac:dyDescent="0.4">
      <c r="A666" s="3">
        <v>0.13100000000000001</v>
      </c>
      <c r="B666" s="3">
        <v>0.99560351165187866</v>
      </c>
      <c r="C666" s="4">
        <f t="shared" si="28"/>
        <v>2.6469967559739072E-4</v>
      </c>
    </row>
    <row r="667" spans="1:3" x14ac:dyDescent="0.4">
      <c r="A667" s="3">
        <v>0.13200000000000001</v>
      </c>
      <c r="B667" s="3">
        <v>0.99585469863896392</v>
      </c>
      <c r="C667" s="4">
        <f t="shared" si="28"/>
        <v>2.5118698708526122E-4</v>
      </c>
    </row>
    <row r="668" spans="1:3" x14ac:dyDescent="0.4">
      <c r="A668" s="3">
        <v>0.13300000000000001</v>
      </c>
      <c r="B668" s="3">
        <v>0.99609296742514719</v>
      </c>
      <c r="C668" s="4">
        <f t="shared" si="28"/>
        <v>2.3826878618327108E-4</v>
      </c>
    </row>
    <row r="669" spans="1:3" x14ac:dyDescent="0.4">
      <c r="A669" s="3">
        <v>0.13400000000000001</v>
      </c>
      <c r="B669" s="3">
        <v>0.99631889199082502</v>
      </c>
      <c r="C669" s="4">
        <f t="shared" si="28"/>
        <v>2.2592456567782637E-4</v>
      </c>
    </row>
    <row r="670" spans="1:3" x14ac:dyDescent="0.4">
      <c r="A670" s="3">
        <v>0.13500000000000001</v>
      </c>
      <c r="B670" s="3">
        <v>0.99653302619695938</v>
      </c>
      <c r="C670" s="4">
        <f t="shared" si="28"/>
        <v>2.1413420613436429E-4</v>
      </c>
    </row>
    <row r="671" spans="1:3" x14ac:dyDescent="0.4">
      <c r="A671" s="3">
        <v>0.13600000000000001</v>
      </c>
      <c r="B671" s="3">
        <v>0.99673590418410873</v>
      </c>
      <c r="C671" s="4">
        <f t="shared" si="28"/>
        <v>2.0287798714935246E-4</v>
      </c>
    </row>
    <row r="672" spans="1:3" x14ac:dyDescent="0.4">
      <c r="A672" s="3">
        <v>0.13700000000000001</v>
      </c>
      <c r="B672" s="3">
        <v>0.99692804078134956</v>
      </c>
      <c r="C672" s="4">
        <f t="shared" si="28"/>
        <v>1.9213659724082177E-4</v>
      </c>
    </row>
    <row r="673" spans="1:3" x14ac:dyDescent="0.4">
      <c r="A673" s="3">
        <v>0.13800000000000001</v>
      </c>
      <c r="B673" s="3">
        <v>0.99710993192377384</v>
      </c>
      <c r="C673" s="4">
        <f t="shared" si="28"/>
        <v>1.8189114242428417E-4</v>
      </c>
    </row>
    <row r="674" spans="1:3" x14ac:dyDescent="0.4">
      <c r="A674" s="3">
        <v>0.13900000000000001</v>
      </c>
      <c r="B674" s="3">
        <v>0.99728205507729872</v>
      </c>
      <c r="C674" s="4">
        <f t="shared" si="28"/>
        <v>1.721231535248835E-4</v>
      </c>
    </row>
    <row r="675" spans="1:3" x14ac:dyDescent="0.4">
      <c r="A675" s="3">
        <v>0.14000000000000001</v>
      </c>
      <c r="B675" s="3">
        <v>0.99744486966957202</v>
      </c>
      <c r="C675" s="4">
        <f t="shared" si="28"/>
        <v>1.6281459227329709E-4</v>
      </c>
    </row>
    <row r="676" spans="1:3" x14ac:dyDescent="0.4">
      <c r="A676" s="3">
        <v>0.14100000000000001</v>
      </c>
      <c r="B676" s="3">
        <v>0.9975988175258107</v>
      </c>
      <c r="C676" s="4">
        <f t="shared" si="28"/>
        <v>1.5394785623867868E-4</v>
      </c>
    </row>
    <row r="677" spans="1:3" x14ac:dyDescent="0.4">
      <c r="A677" s="3">
        <v>0.14200000000000002</v>
      </c>
      <c r="B677" s="3">
        <v>0.99774432330845764</v>
      </c>
      <c r="C677" s="4">
        <f t="shared" si="28"/>
        <v>1.4550578264693748E-4</v>
      </c>
    </row>
    <row r="678" spans="1:3" x14ac:dyDescent="0.4">
      <c r="A678" s="3">
        <v>0.14300000000000002</v>
      </c>
      <c r="B678" s="3">
        <v>0.99788179495959539</v>
      </c>
      <c r="C678" s="4">
        <f t="shared" si="28"/>
        <v>1.3747165113775495E-4</v>
      </c>
    </row>
    <row r="679" spans="1:3" x14ac:dyDescent="0.4">
      <c r="A679" s="3">
        <v>0.14400000000000002</v>
      </c>
      <c r="B679" s="3">
        <v>0.99801162414510569</v>
      </c>
      <c r="C679" s="4">
        <f t="shared" si="28"/>
        <v>1.2982918551029954E-4</v>
      </c>
    </row>
    <row r="680" spans="1:3" x14ac:dyDescent="0.4">
      <c r="A680" s="3">
        <v>0.14499999999999999</v>
      </c>
      <c r="B680" s="3">
        <v>0.99813418669961596</v>
      </c>
      <c r="C680" s="4">
        <f t="shared" si="28"/>
        <v>1.2256255451026377E-4</v>
      </c>
    </row>
    <row r="681" spans="1:3" x14ac:dyDescent="0.4">
      <c r="A681" s="3">
        <v>0.14599999999999999</v>
      </c>
      <c r="B681" s="3">
        <v>0.99824984307132392</v>
      </c>
      <c r="C681" s="4">
        <f t="shared" si="28"/>
        <v>1.1565637170796172E-4</v>
      </c>
    </row>
    <row r="682" spans="1:3" x14ac:dyDescent="0.4">
      <c r="A682" s="3">
        <v>0.14699999999999999</v>
      </c>
      <c r="B682" s="3">
        <v>0.99835893876584303</v>
      </c>
      <c r="C682" s="4">
        <f t="shared" si="28"/>
        <v>1.0909569451911239E-4</v>
      </c>
    </row>
    <row r="683" spans="1:3" x14ac:dyDescent="0.4">
      <c r="A683" s="3">
        <v>0.14799999999999999</v>
      </c>
      <c r="B683" s="3">
        <v>0.99846180478826196</v>
      </c>
      <c r="C683" s="4">
        <f t="shared" si="28"/>
        <v>1.0286602241893483E-4</v>
      </c>
    </row>
    <row r="684" spans="1:3" x14ac:dyDescent="0.4">
      <c r="A684" s="3">
        <v>0.14899999999999999</v>
      </c>
      <c r="B684" s="3">
        <v>0.99855875808266004</v>
      </c>
      <c r="C684" s="4">
        <f t="shared" si="28"/>
        <v>9.695329439807221E-5</v>
      </c>
    </row>
    <row r="685" spans="1:3" x14ac:dyDescent="0.4">
      <c r="A685" s="3">
        <v>0.15</v>
      </c>
      <c r="B685" s="3">
        <v>0.9986501019683699</v>
      </c>
      <c r="C685" s="4">
        <f t="shared" si="28"/>
        <v>9.1343885709860295E-5</v>
      </c>
    </row>
    <row r="686" spans="1:3" x14ac:dyDescent="0.4">
      <c r="A686" s="3">
        <v>0.151</v>
      </c>
      <c r="B686" s="3">
        <v>0.99873612657232769</v>
      </c>
      <c r="C686" s="4">
        <f t="shared" si="28"/>
        <v>8.6024603957790546E-5</v>
      </c>
    </row>
    <row r="687" spans="1:3" x14ac:dyDescent="0.4">
      <c r="A687" s="3">
        <v>0.152</v>
      </c>
      <c r="B687" s="3">
        <v>0.9988171092568956</v>
      </c>
      <c r="C687" s="4">
        <f t="shared" si="28"/>
        <v>8.098268456790958E-5</v>
      </c>
    </row>
    <row r="688" spans="1:3" x14ac:dyDescent="0.4">
      <c r="A688" s="3">
        <v>0.153</v>
      </c>
      <c r="B688" s="3">
        <v>0.99889331504259071</v>
      </c>
      <c r="C688" s="4">
        <f t="shared" si="28"/>
        <v>7.6205785695115935E-5</v>
      </c>
    </row>
    <row r="689" spans="1:3" x14ac:dyDescent="0.4">
      <c r="A689" s="3">
        <v>0.154</v>
      </c>
      <c r="B689" s="3">
        <v>0.99896499702519714</v>
      </c>
      <c r="C689" s="4">
        <f t="shared" si="28"/>
        <v>7.1681982606430772E-5</v>
      </c>
    </row>
    <row r="690" spans="1:3" x14ac:dyDescent="0.4">
      <c r="A690" s="3">
        <v>0.155</v>
      </c>
      <c r="B690" s="3">
        <v>0.99903239678678168</v>
      </c>
      <c r="C690" s="4">
        <f t="shared" si="28"/>
        <v>6.7399761584541196E-5</v>
      </c>
    </row>
    <row r="691" spans="1:3" x14ac:dyDescent="0.4">
      <c r="A691" s="3">
        <v>0.156</v>
      </c>
      <c r="B691" s="3">
        <v>0.99909574480017771</v>
      </c>
      <c r="C691" s="4">
        <f t="shared" si="28"/>
        <v>6.3348013396025138E-5</v>
      </c>
    </row>
    <row r="692" spans="1:3" x14ac:dyDescent="0.4">
      <c r="A692" s="3">
        <v>0.157</v>
      </c>
      <c r="B692" s="3">
        <v>0.99915526082654138</v>
      </c>
      <c r="C692" s="4">
        <f t="shared" si="28"/>
        <v>5.9516026363670704E-5</v>
      </c>
    </row>
    <row r="693" spans="1:3" x14ac:dyDescent="0.4">
      <c r="A693" s="3">
        <v>0.158</v>
      </c>
      <c r="B693" s="3">
        <v>0.99921115430562446</v>
      </c>
      <c r="C693" s="4">
        <f t="shared" si="28"/>
        <v>5.5893479083080067E-5</v>
      </c>
    </row>
    <row r="694" spans="1:3" x14ac:dyDescent="0.4">
      <c r="A694" s="3">
        <v>0.159</v>
      </c>
      <c r="B694" s="3">
        <v>0.9992636247384461</v>
      </c>
      <c r="C694" s="4">
        <f t="shared" si="28"/>
        <v>5.2470432821638546E-5</v>
      </c>
    </row>
    <row r="695" spans="1:3" x14ac:dyDescent="0.4">
      <c r="A695" s="3">
        <v>0.16</v>
      </c>
      <c r="B695" s="3">
        <v>0.99931286206208414</v>
      </c>
      <c r="C695" s="4">
        <f t="shared" si="28"/>
        <v>4.9237323638040564E-5</v>
      </c>
    </row>
    <row r="696" spans="1:3" x14ac:dyDescent="0.4">
      <c r="A696" s="3">
        <v>0.161</v>
      </c>
      <c r="B696" s="3">
        <v>0.99935904701633993</v>
      </c>
      <c r="C696" s="4">
        <f t="shared" si="28"/>
        <v>4.6184954255790167E-5</v>
      </c>
    </row>
    <row r="697" spans="1:3" x14ac:dyDescent="0.4">
      <c r="A697" s="3">
        <v>0.16200000000000001</v>
      </c>
      <c r="B697" s="3">
        <v>0.99940235150206558</v>
      </c>
      <c r="C697" s="4">
        <f t="shared" si="28"/>
        <v>4.3304485725648156E-5</v>
      </c>
    </row>
    <row r="698" spans="1:3" x14ac:dyDescent="0.4">
      <c r="A698" s="3">
        <v>0.16300000000000001</v>
      </c>
      <c r="B698" s="3">
        <v>0.99944293893097536</v>
      </c>
      <c r="C698" s="4">
        <f t="shared" si="28"/>
        <v>4.0587428909777401E-5</v>
      </c>
    </row>
    <row r="699" spans="1:3" x14ac:dyDescent="0.4">
      <c r="A699" s="3">
        <v>0.16400000000000001</v>
      </c>
      <c r="B699" s="3">
        <v>0.99948096456679303</v>
      </c>
      <c r="C699" s="4">
        <f t="shared" si="28"/>
        <v>3.8025635817673376E-5</v>
      </c>
    </row>
    <row r="700" spans="1:3" x14ac:dyDescent="0.4">
      <c r="A700" s="3">
        <v>0.16500000000000001</v>
      </c>
      <c r="B700" s="3">
        <v>0.99951657585761622</v>
      </c>
      <c r="C700" s="4">
        <f t="shared" si="28"/>
        <v>3.5611290823189812E-5</v>
      </c>
    </row>
    <row r="701" spans="1:3" x14ac:dyDescent="0.4">
      <c r="A701" s="3">
        <v>0.16600000000000001</v>
      </c>
      <c r="B701" s="3">
        <v>0.99954991275940785</v>
      </c>
      <c r="C701" s="4">
        <f t="shared" si="28"/>
        <v>3.3336901791636286E-5</v>
      </c>
    </row>
    <row r="702" spans="1:3" x14ac:dyDescent="0.4">
      <c r="A702" s="3">
        <v>0.16700000000000001</v>
      </c>
      <c r="B702" s="3">
        <v>0.99958110805054967</v>
      </c>
      <c r="C702" s="4">
        <f t="shared" si="28"/>
        <v>3.1195291141816739E-5</v>
      </c>
    </row>
    <row r="703" spans="1:3" x14ac:dyDescent="0.4">
      <c r="A703" s="3">
        <v>0.16800000000000001</v>
      </c>
      <c r="B703" s="3">
        <v>0.99961028763741799</v>
      </c>
      <c r="C703" s="4">
        <f t="shared" si="28"/>
        <v>2.9179586868322005E-5</v>
      </c>
    </row>
    <row r="704" spans="1:3" x14ac:dyDescent="0.4">
      <c r="A704" s="3">
        <v>0.16900000000000001</v>
      </c>
      <c r="B704" s="3">
        <v>0.99963757085096694</v>
      </c>
      <c r="C704" s="4">
        <f t="shared" si="28"/>
        <v>2.7283213548945362E-5</v>
      </c>
    </row>
    <row r="705" spans="1:3" x14ac:dyDescent="0.4">
      <c r="A705" s="3">
        <v>0.17</v>
      </c>
      <c r="B705" s="3">
        <v>0.99966307073432314</v>
      </c>
      <c r="C705" s="4">
        <f t="shared" si="28"/>
        <v>2.5499883356205899E-5</v>
      </c>
    </row>
    <row r="706" spans="1:3" x14ac:dyDescent="0.4">
      <c r="A706" s="3">
        <v>0.17100000000000001</v>
      </c>
      <c r="B706" s="3">
        <v>0.99968689432141877</v>
      </c>
      <c r="C706" s="4">
        <f t="shared" si="28"/>
        <v>2.3823587095628262E-5</v>
      </c>
    </row>
    <row r="707" spans="1:3" x14ac:dyDescent="0.4">
      <c r="A707" s="3">
        <v>0.17200000000000001</v>
      </c>
      <c r="B707" s="3">
        <v>0.9997091429067092</v>
      </c>
      <c r="C707" s="4">
        <f t="shared" ref="C707:C770" si="29">B707-B706</f>
        <v>2.2248585290429723E-5</v>
      </c>
    </row>
    <row r="708" spans="1:3" x14ac:dyDescent="0.4">
      <c r="A708" s="3">
        <v>0.17300000000000001</v>
      </c>
      <c r="B708" s="3">
        <v>0.99972991230603647</v>
      </c>
      <c r="C708" s="4">
        <f t="shared" si="29"/>
        <v>2.0769399327269511E-5</v>
      </c>
    </row>
    <row r="709" spans="1:3" x14ac:dyDescent="0.4">
      <c r="A709" s="3">
        <v>0.17400000000000002</v>
      </c>
      <c r="B709" s="3">
        <v>0.99974929310871952</v>
      </c>
      <c r="C709" s="4">
        <f t="shared" si="29"/>
        <v>1.9380802683044429E-5</v>
      </c>
    </row>
    <row r="710" spans="1:3" x14ac:dyDescent="0.4">
      <c r="A710" s="3">
        <v>0.17500000000000002</v>
      </c>
      <c r="B710" s="3">
        <v>0.99976737092096446</v>
      </c>
      <c r="C710" s="4">
        <f t="shared" si="29"/>
        <v>1.8077812244943203E-5</v>
      </c>
    </row>
    <row r="711" spans="1:3" x14ac:dyDescent="0.4">
      <c r="A711" s="3">
        <v>0.17599999999999999</v>
      </c>
      <c r="B711" s="3">
        <v>0.99978422660070532</v>
      </c>
      <c r="C711" s="4">
        <f t="shared" si="29"/>
        <v>1.6855679740856999E-5</v>
      </c>
    </row>
    <row r="712" spans="1:3" x14ac:dyDescent="0.4">
      <c r="A712" s="3">
        <v>0.17699999999999999</v>
      </c>
      <c r="B712" s="3">
        <v>0.99979993648399268</v>
      </c>
      <c r="C712" s="4">
        <f t="shared" si="29"/>
        <v>1.5709883287362558E-5</v>
      </c>
    </row>
    <row r="713" spans="1:3" x14ac:dyDescent="0.4">
      <c r="A713" s="3">
        <v>0.17799999999999999</v>
      </c>
      <c r="B713" s="3">
        <v>0.99981457260306672</v>
      </c>
      <c r="C713" s="4">
        <f t="shared" si="29"/>
        <v>1.4636119074040721E-5</v>
      </c>
    </row>
    <row r="714" spans="1:3" x14ac:dyDescent="0.4">
      <c r="A714" s="3">
        <v>0.17899999999999999</v>
      </c>
      <c r="B714" s="3">
        <v>0.99982820289625407</v>
      </c>
      <c r="C714" s="4">
        <f t="shared" si="29"/>
        <v>1.3630293187349984E-5</v>
      </c>
    </row>
    <row r="715" spans="1:3" x14ac:dyDescent="0.4">
      <c r="A715" s="3">
        <v>0.18</v>
      </c>
      <c r="B715" s="3">
        <v>0.99984089140984245</v>
      </c>
      <c r="C715" s="4">
        <f t="shared" si="29"/>
        <v>1.2688513588376971E-5</v>
      </c>
    </row>
    <row r="716" spans="1:3" x14ac:dyDescent="0.4">
      <c r="A716" s="3">
        <v>0.18099999999999999</v>
      </c>
      <c r="B716" s="3">
        <v>0.99985269849209257</v>
      </c>
      <c r="C716" s="4">
        <f t="shared" si="29"/>
        <v>1.1807082250125944E-5</v>
      </c>
    </row>
    <row r="717" spans="1:3" x14ac:dyDescent="0.4">
      <c r="A717" s="3">
        <v>0.182</v>
      </c>
      <c r="B717" s="3">
        <v>0.99986368097955425</v>
      </c>
      <c r="C717" s="4">
        <f t="shared" si="29"/>
        <v>1.098248746167485E-5</v>
      </c>
    </row>
    <row r="718" spans="1:3" x14ac:dyDescent="0.4">
      <c r="A718" s="3">
        <v>0.183</v>
      </c>
      <c r="B718" s="3">
        <v>0.99987389237586155</v>
      </c>
      <c r="C718" s="4">
        <f t="shared" si="29"/>
        <v>1.02113963073025E-5</v>
      </c>
    </row>
    <row r="719" spans="1:3" x14ac:dyDescent="0.4">
      <c r="A719" s="3">
        <v>0.184</v>
      </c>
      <c r="B719" s="3">
        <v>0.99988338302318458</v>
      </c>
      <c r="C719" s="4">
        <f t="shared" si="29"/>
        <v>9.4906473230293997E-6</v>
      </c>
    </row>
    <row r="720" spans="1:3" x14ac:dyDescent="0.4">
      <c r="A720" s="3">
        <v>0.185</v>
      </c>
      <c r="B720" s="3">
        <v>0.99989220026652259</v>
      </c>
      <c r="C720" s="4">
        <f t="shared" si="29"/>
        <v>8.8172433380107051E-6</v>
      </c>
    </row>
    <row r="721" spans="1:3" x14ac:dyDescent="0.4">
      <c r="A721" s="3">
        <v>0.186</v>
      </c>
      <c r="B721" s="3">
        <v>0.99990038861102404</v>
      </c>
      <c r="C721" s="4">
        <f t="shared" si="29"/>
        <v>8.1883445014474532E-6</v>
      </c>
    </row>
    <row r="722" spans="1:3" x14ac:dyDescent="0.4">
      <c r="A722" s="3">
        <v>0.187</v>
      </c>
      <c r="B722" s="3">
        <v>0.99990798987252594</v>
      </c>
      <c r="C722" s="4">
        <f t="shared" si="29"/>
        <v>7.6012615018994367E-6</v>
      </c>
    </row>
    <row r="723" spans="1:3" x14ac:dyDescent="0.4">
      <c r="A723" s="3">
        <v>0.188</v>
      </c>
      <c r="B723" s="3">
        <v>0.99991504332150205</v>
      </c>
      <c r="C723" s="4">
        <f t="shared" si="29"/>
        <v>7.0534489761131525E-6</v>
      </c>
    </row>
    <row r="724" spans="1:3" x14ac:dyDescent="0.4">
      <c r="A724" s="3">
        <v>0.189</v>
      </c>
      <c r="B724" s="3">
        <v>0.99992158582061641</v>
      </c>
      <c r="C724" s="4">
        <f t="shared" si="29"/>
        <v>6.5424991143592237E-6</v>
      </c>
    </row>
    <row r="725" spans="1:3" x14ac:dyDescent="0.4">
      <c r="A725" s="3">
        <v>0.19</v>
      </c>
      <c r="B725" s="3">
        <v>0.99992765195607491</v>
      </c>
      <c r="C725" s="4">
        <f t="shared" si="29"/>
        <v>6.0661354585045402E-6</v>
      </c>
    </row>
    <row r="726" spans="1:3" x14ac:dyDescent="0.4">
      <c r="A726" s="3">
        <v>0.191</v>
      </c>
      <c r="B726" s="3">
        <v>0.99993327416297029</v>
      </c>
      <c r="C726" s="4">
        <f t="shared" si="29"/>
        <v>5.6222068953726279E-6</v>
      </c>
    </row>
    <row r="727" spans="1:3" x14ac:dyDescent="0.4">
      <c r="A727" s="3">
        <v>0.192</v>
      </c>
      <c r="B727" s="3">
        <v>0.99993848284481679</v>
      </c>
      <c r="C727" s="4">
        <f t="shared" si="29"/>
        <v>5.208681846502472E-6</v>
      </c>
    </row>
    <row r="728" spans="1:3" x14ac:dyDescent="0.4">
      <c r="A728" s="3">
        <v>0.193</v>
      </c>
      <c r="B728" s="3">
        <v>0.99994330648746577</v>
      </c>
      <c r="C728" s="4">
        <f t="shared" si="29"/>
        <v>4.8236426489767226E-6</v>
      </c>
    </row>
    <row r="729" spans="1:3" x14ac:dyDescent="0.4">
      <c r="A729" s="3">
        <v>0.19400000000000001</v>
      </c>
      <c r="B729" s="3">
        <v>0.99994777176759819</v>
      </c>
      <c r="C729" s="4">
        <f t="shared" si="29"/>
        <v>4.4652801324263081E-6</v>
      </c>
    </row>
    <row r="730" spans="1:3" x14ac:dyDescent="0.4">
      <c r="A730" s="3">
        <v>0.19500000000000001</v>
      </c>
      <c r="B730" s="3">
        <v>0.99995190365598241</v>
      </c>
      <c r="C730" s="4">
        <f t="shared" si="29"/>
        <v>4.1318883842178522E-6</v>
      </c>
    </row>
    <row r="731" spans="1:3" x14ac:dyDescent="0.4">
      <c r="A731" s="3">
        <v>0.19600000000000001</v>
      </c>
      <c r="B731" s="3">
        <v>0.9999557255156879</v>
      </c>
      <c r="C731" s="4">
        <f t="shared" si="29"/>
        <v>3.8218597054884285E-6</v>
      </c>
    </row>
    <row r="732" spans="1:3" x14ac:dyDescent="0.4">
      <c r="A732" s="3">
        <v>0.19700000000000001</v>
      </c>
      <c r="B732" s="3">
        <v>0.99995925919544149</v>
      </c>
      <c r="C732" s="4">
        <f t="shared" si="29"/>
        <v>3.5336797535867603E-6</v>
      </c>
    </row>
    <row r="733" spans="1:3" x14ac:dyDescent="0.4">
      <c r="A733" s="3">
        <v>0.19800000000000001</v>
      </c>
      <c r="B733" s="3">
        <v>0.99996252511830896</v>
      </c>
      <c r="C733" s="4">
        <f t="shared" si="29"/>
        <v>3.2659228674791763E-6</v>
      </c>
    </row>
    <row r="734" spans="1:3" x14ac:dyDescent="0.4">
      <c r="A734" s="3">
        <v>0.19900000000000001</v>
      </c>
      <c r="B734" s="3">
        <v>0.99996554236588497</v>
      </c>
      <c r="C734" s="4">
        <f t="shared" si="29"/>
        <v>3.0172475760092965E-6</v>
      </c>
    </row>
    <row r="735" spans="1:3" x14ac:dyDescent="0.4">
      <c r="A735" s="3">
        <v>0.2</v>
      </c>
      <c r="B735" s="3">
        <v>0.99996832875816688</v>
      </c>
      <c r="C735" s="4">
        <f t="shared" si="29"/>
        <v>2.7863922819060249E-6</v>
      </c>
    </row>
    <row r="736" spans="1:3" x14ac:dyDescent="0.4">
      <c r="A736" s="3">
        <v>0.20100000000000001</v>
      </c>
      <c r="B736" s="3">
        <v>0.99997090092928809</v>
      </c>
      <c r="C736" s="4">
        <f t="shared" si="29"/>
        <v>2.5721711212067788E-6</v>
      </c>
    </row>
    <row r="737" spans="1:3" x14ac:dyDescent="0.4">
      <c r="A737" s="3">
        <v>0.20200000000000001</v>
      </c>
      <c r="B737" s="3">
        <v>0.99997327439928052</v>
      </c>
      <c r="C737" s="4">
        <f t="shared" si="29"/>
        <v>2.3734699924338187E-6</v>
      </c>
    </row>
    <row r="738" spans="1:3" x14ac:dyDescent="0.4">
      <c r="A738" s="3">
        <v>0.20300000000000001</v>
      </c>
      <c r="B738" s="3">
        <v>0.9999754636420336</v>
      </c>
      <c r="C738" s="4">
        <f t="shared" si="29"/>
        <v>2.1892427530811887E-6</v>
      </c>
    </row>
    <row r="739" spans="1:3" x14ac:dyDescent="0.4">
      <c r="A739" s="3">
        <v>0.20400000000000001</v>
      </c>
      <c r="B739" s="3">
        <v>0.99997748214961146</v>
      </c>
      <c r="C739" s="4">
        <f t="shared" si="29"/>
        <v>2.0185075778611505E-6</v>
      </c>
    </row>
    <row r="740" spans="1:3" x14ac:dyDescent="0.4">
      <c r="A740" s="3">
        <v>0.20500000000000002</v>
      </c>
      <c r="B740" s="3">
        <v>0.99997934249308751</v>
      </c>
      <c r="C740" s="4">
        <f t="shared" si="29"/>
        <v>1.8603434760455784E-6</v>
      </c>
    </row>
    <row r="741" spans="1:3" x14ac:dyDescent="0.4">
      <c r="A741" s="3">
        <v>0.20600000000000002</v>
      </c>
      <c r="B741" s="3">
        <v>0.99998105638004942</v>
      </c>
      <c r="C741" s="4">
        <f t="shared" si="29"/>
        <v>1.7138869619071073E-6</v>
      </c>
    </row>
    <row r="742" spans="1:3" x14ac:dyDescent="0.4">
      <c r="A742" s="3">
        <v>0.20700000000000002</v>
      </c>
      <c r="B742" s="3">
        <v>0.99998263470892634</v>
      </c>
      <c r="C742" s="4">
        <f t="shared" si="29"/>
        <v>1.5783288769277704E-6</v>
      </c>
    </row>
    <row r="743" spans="1:3" x14ac:dyDescent="0.4">
      <c r="A743" s="3">
        <v>0.20800000000000002</v>
      </c>
      <c r="B743" s="3">
        <v>0.9999840876202809</v>
      </c>
      <c r="C743" s="4">
        <f t="shared" si="29"/>
        <v>1.4529113545602712E-6</v>
      </c>
    </row>
    <row r="744" spans="1:3" x14ac:dyDescent="0.4">
      <c r="A744" s="3">
        <v>0.20899999999999999</v>
      </c>
      <c r="B744" s="3">
        <v>0.99998542454520911</v>
      </c>
      <c r="C744" s="4">
        <f t="shared" si="29"/>
        <v>1.3369249282080276E-6</v>
      </c>
    </row>
    <row r="745" spans="1:3" x14ac:dyDescent="0.4">
      <c r="A745" s="3">
        <v>0.21</v>
      </c>
      <c r="B745" s="3">
        <v>0.9999866542509841</v>
      </c>
      <c r="C745" s="4">
        <f t="shared" si="29"/>
        <v>1.2297057749854901E-6</v>
      </c>
    </row>
    <row r="746" spans="1:3" x14ac:dyDescent="0.4">
      <c r="A746" s="3">
        <v>0.21099999999999999</v>
      </c>
      <c r="B746" s="3">
        <v>0.99998778488407469</v>
      </c>
      <c r="C746" s="4">
        <f t="shared" si="29"/>
        <v>1.1306330905958006E-6</v>
      </c>
    </row>
    <row r="747" spans="1:3" x14ac:dyDescent="0.4">
      <c r="A747" s="3">
        <v>0.21199999999999999</v>
      </c>
      <c r="B747" s="3">
        <v>0.99998882401066791</v>
      </c>
      <c r="C747" s="4">
        <f t="shared" si="29"/>
        <v>1.0391265932163662E-6</v>
      </c>
    </row>
    <row r="748" spans="1:3" x14ac:dyDescent="0.4">
      <c r="A748" s="3">
        <v>0.21299999999999999</v>
      </c>
      <c r="B748" s="3">
        <v>0.99998977865481598</v>
      </c>
      <c r="C748" s="4">
        <f t="shared" si="29"/>
        <v>9.5464414806567532E-7</v>
      </c>
    </row>
    <row r="749" spans="1:3" x14ac:dyDescent="0.4">
      <c r="A749" s="3">
        <v>0.214</v>
      </c>
      <c r="B749" s="3">
        <v>0.99999065533432985</v>
      </c>
      <c r="C749" s="4">
        <f t="shared" si="29"/>
        <v>8.7667951387260246E-7</v>
      </c>
    </row>
    <row r="750" spans="1:3" x14ac:dyDescent="0.4">
      <c r="A750" s="3">
        <v>0.215</v>
      </c>
      <c r="B750" s="3">
        <v>0.99999146009452899</v>
      </c>
      <c r="C750" s="4">
        <f t="shared" si="29"/>
        <v>8.0476019914677011E-7</v>
      </c>
    </row>
    <row r="751" spans="1:3" x14ac:dyDescent="0.4">
      <c r="A751" s="3">
        <v>0.216</v>
      </c>
      <c r="B751" s="3">
        <v>0.99999219853996191</v>
      </c>
      <c r="C751" s="4">
        <f t="shared" si="29"/>
        <v>7.3844543291290421E-7</v>
      </c>
    </row>
    <row r="752" spans="1:3" x14ac:dyDescent="0.4">
      <c r="A752" s="3">
        <v>0.217</v>
      </c>
      <c r="B752" s="3">
        <v>0.99999287586419849</v>
      </c>
      <c r="C752" s="4">
        <f t="shared" si="29"/>
        <v>6.7732423658650731E-7</v>
      </c>
    </row>
    <row r="753" spans="1:3" x14ac:dyDescent="0.4">
      <c r="A753" s="3">
        <v>0.218</v>
      </c>
      <c r="B753" s="3">
        <v>0.99999349687779904</v>
      </c>
      <c r="C753" s="4">
        <f t="shared" si="29"/>
        <v>6.2101360054356292E-7</v>
      </c>
    </row>
    <row r="754" spans="1:3" x14ac:dyDescent="0.4">
      <c r="A754" s="3">
        <v>0.219</v>
      </c>
      <c r="B754" s="3">
        <v>0.99999406603455443</v>
      </c>
      <c r="C754" s="4">
        <f t="shared" si="29"/>
        <v>5.6915675539226385E-7</v>
      </c>
    </row>
    <row r="755" spans="1:3" x14ac:dyDescent="0.4">
      <c r="A755" s="3">
        <v>0.22</v>
      </c>
      <c r="B755" s="3">
        <v>0.99999458745609227</v>
      </c>
      <c r="C755" s="4">
        <f t="shared" si="29"/>
        <v>5.214215378357423E-7</v>
      </c>
    </row>
    <row r="756" spans="1:3" x14ac:dyDescent="0.4">
      <c r="A756" s="3">
        <v>0.221</v>
      </c>
      <c r="B756" s="3">
        <v>0.99999506495493751</v>
      </c>
      <c r="C756" s="4">
        <f t="shared" si="29"/>
        <v>4.7749884524161956E-7</v>
      </c>
    </row>
    <row r="757" spans="1:3" x14ac:dyDescent="0.4">
      <c r="A757" s="3">
        <v>0.222</v>
      </c>
      <c r="B757" s="3">
        <v>0.99999550205611143</v>
      </c>
      <c r="C757" s="4">
        <f t="shared" si="29"/>
        <v>4.371011739223718E-7</v>
      </c>
    </row>
    <row r="758" spans="1:3" x14ac:dyDescent="0.4">
      <c r="A758" s="3">
        <v>0.223</v>
      </c>
      <c r="B758" s="3">
        <v>0.99999590201735333</v>
      </c>
      <c r="C758" s="4">
        <f t="shared" si="29"/>
        <v>3.99961241903668E-7</v>
      </c>
    </row>
    <row r="759" spans="1:3" x14ac:dyDescent="0.4">
      <c r="A759" s="3">
        <v>0.224</v>
      </c>
      <c r="B759" s="3">
        <v>0.99999626784803952</v>
      </c>
      <c r="C759" s="4">
        <f t="shared" si="29"/>
        <v>3.6583068618867287E-7</v>
      </c>
    </row>
    <row r="760" spans="1:3" x14ac:dyDescent="0.4">
      <c r="A760" s="3">
        <v>0.22500000000000001</v>
      </c>
      <c r="B760" s="3">
        <v>0.99999660232687526</v>
      </c>
      <c r="C760" s="4">
        <f t="shared" si="29"/>
        <v>3.3447883573956005E-7</v>
      </c>
    </row>
    <row r="761" spans="1:3" x14ac:dyDescent="0.4">
      <c r="A761" s="3">
        <v>0.22600000000000001</v>
      </c>
      <c r="B761" s="3">
        <v>0.999996908018431</v>
      </c>
      <c r="C761" s="4">
        <f t="shared" si="29"/>
        <v>3.0569155573534346E-7</v>
      </c>
    </row>
    <row r="762" spans="1:3" x14ac:dyDescent="0.4">
      <c r="A762" s="3">
        <v>0.22700000000000001</v>
      </c>
      <c r="B762" s="3">
        <v>0.99999718728858833</v>
      </c>
      <c r="C762" s="4">
        <f t="shared" si="29"/>
        <v>2.7927015733286709E-7</v>
      </c>
    </row>
    <row r="763" spans="1:3" x14ac:dyDescent="0.4">
      <c r="A763" s="3">
        <v>0.22800000000000001</v>
      </c>
      <c r="B763" s="3">
        <v>0.99999744231896059</v>
      </c>
      <c r="C763" s="4">
        <f t="shared" si="29"/>
        <v>2.550303722648195E-7</v>
      </c>
    </row>
    <row r="764" spans="1:3" x14ac:dyDescent="0.4">
      <c r="A764" s="3">
        <v>0.22900000000000001</v>
      </c>
      <c r="B764" s="3">
        <v>0.99999767512035009</v>
      </c>
      <c r="C764" s="4">
        <f t="shared" si="29"/>
        <v>2.3280138949921536E-7</v>
      </c>
    </row>
    <row r="765" spans="1:3" x14ac:dyDescent="0.4">
      <c r="A765" s="3">
        <v>0.23</v>
      </c>
      <c r="B765" s="3">
        <v>0.9999978875452975</v>
      </c>
      <c r="C765" s="4">
        <f t="shared" si="29"/>
        <v>2.1242494741002815E-7</v>
      </c>
    </row>
    <row r="766" spans="1:3" x14ac:dyDescent="0.4">
      <c r="A766" s="3">
        <v>0.23100000000000001</v>
      </c>
      <c r="B766" s="3">
        <v>0.99999808129978007</v>
      </c>
      <c r="C766" s="4">
        <f t="shared" si="29"/>
        <v>1.9375448256919725E-7</v>
      </c>
    </row>
    <row r="767" spans="1:3" x14ac:dyDescent="0.4">
      <c r="A767" s="3">
        <v>0.23200000000000001</v>
      </c>
      <c r="B767" s="3">
        <v>0.99999825795410968</v>
      </c>
      <c r="C767" s="4">
        <f t="shared" si="29"/>
        <v>1.7665432960889405E-7</v>
      </c>
    </row>
    <row r="768" spans="1:3" x14ac:dyDescent="0.4">
      <c r="A768" s="3">
        <v>0.23300000000000001</v>
      </c>
      <c r="B768" s="3">
        <v>0.99999841895308106</v>
      </c>
      <c r="C768" s="4">
        <f t="shared" si="29"/>
        <v>1.6099897137689112E-7</v>
      </c>
    </row>
    <row r="769" spans="1:3" x14ac:dyDescent="0.4">
      <c r="A769" s="3">
        <v>0.23400000000000001</v>
      </c>
      <c r="B769" s="3">
        <v>0.99999856562541556</v>
      </c>
      <c r="C769" s="4">
        <f t="shared" si="29"/>
        <v>1.4667233450005313E-7</v>
      </c>
    </row>
    <row r="770" spans="1:3" x14ac:dyDescent="0.4">
      <c r="A770" s="3">
        <v>0.23500000000000001</v>
      </c>
      <c r="B770" s="3">
        <v>0.99999869919254614</v>
      </c>
      <c r="C770" s="4">
        <f t="shared" si="29"/>
        <v>1.3356713057799396E-7</v>
      </c>
    </row>
    <row r="771" spans="1:3" x14ac:dyDescent="0.4">
      <c r="A771" s="3">
        <v>0.23600000000000002</v>
      </c>
      <c r="B771" s="3">
        <v>0.99999882077678348</v>
      </c>
      <c r="C771" s="4">
        <f t="shared" ref="C771:C834" si="30">B771-B770</f>
        <v>1.2158423734476287E-7</v>
      </c>
    </row>
    <row r="772" spans="1:3" x14ac:dyDescent="0.4">
      <c r="A772" s="3">
        <v>0.23700000000000002</v>
      </c>
      <c r="B772" s="3">
        <v>0.9999989314089055</v>
      </c>
      <c r="C772" s="4">
        <f t="shared" si="30"/>
        <v>1.1063212201900541E-7</v>
      </c>
    </row>
    <row r="773" spans="1:3" x14ac:dyDescent="0.4">
      <c r="A773" s="3">
        <v>0.23800000000000002</v>
      </c>
      <c r="B773" s="3">
        <v>0.99999903203520402</v>
      </c>
      <c r="C773" s="4">
        <f t="shared" si="30"/>
        <v>1.0062629851592675E-7</v>
      </c>
    </row>
    <row r="774" spans="1:3" x14ac:dyDescent="0.4">
      <c r="A774" s="3">
        <v>0.23900000000000002</v>
      </c>
      <c r="B774" s="3">
        <v>0.99999912352402709</v>
      </c>
      <c r="C774" s="4">
        <f t="shared" si="30"/>
        <v>9.148882307297157E-8</v>
      </c>
    </row>
    <row r="775" spans="1:3" x14ac:dyDescent="0.4">
      <c r="A775" s="3">
        <v>0.24</v>
      </c>
      <c r="B775" s="3">
        <v>0.99999920667184805</v>
      </c>
      <c r="C775" s="4">
        <f t="shared" si="30"/>
        <v>8.3147820961748664E-8</v>
      </c>
    </row>
    <row r="776" spans="1:3" x14ac:dyDescent="0.4">
      <c r="A776" s="3">
        <v>0.24099999999999999</v>
      </c>
      <c r="B776" s="3">
        <v>0.999999282208893</v>
      </c>
      <c r="C776" s="4">
        <f t="shared" si="30"/>
        <v>7.5537044952334043E-8</v>
      </c>
    </row>
    <row r="777" spans="1:3" x14ac:dyDescent="0.4">
      <c r="A777" s="3">
        <v>0.24199999999999999</v>
      </c>
      <c r="B777" s="3">
        <v>0.99999935080435709</v>
      </c>
      <c r="C777" s="4">
        <f t="shared" si="30"/>
        <v>6.8595464086662616E-8</v>
      </c>
    </row>
    <row r="778" spans="1:3" x14ac:dyDescent="0.4">
      <c r="A778" s="3">
        <v>0.24299999999999999</v>
      </c>
      <c r="B778" s="3">
        <v>0.99999941307123552</v>
      </c>
      <c r="C778" s="4">
        <f t="shared" si="30"/>
        <v>6.226687843113865E-8</v>
      </c>
    </row>
    <row r="779" spans="1:3" x14ac:dyDescent="0.4">
      <c r="A779" s="3">
        <v>0.24399999999999999</v>
      </c>
      <c r="B779" s="3">
        <v>0.99999946957079699</v>
      </c>
      <c r="C779" s="4">
        <f t="shared" si="30"/>
        <v>5.6499561473799531E-8</v>
      </c>
    </row>
    <row r="780" spans="1:3" x14ac:dyDescent="0.4">
      <c r="A780" s="3">
        <v>0.245</v>
      </c>
      <c r="B780" s="3">
        <v>0.99999952081672339</v>
      </c>
      <c r="C780" s="4">
        <f t="shared" si="30"/>
        <v>5.1245926391274566E-8</v>
      </c>
    </row>
    <row r="781" spans="1:3" x14ac:dyDescent="0.4">
      <c r="A781" s="3">
        <v>0.246</v>
      </c>
      <c r="B781" s="3">
        <v>0.99999956727893813</v>
      </c>
      <c r="C781" s="4">
        <f t="shared" si="30"/>
        <v>4.6462214742248875E-8</v>
      </c>
    </row>
    <row r="782" spans="1:3" x14ac:dyDescent="0.4">
      <c r="A782" s="3">
        <v>0.247</v>
      </c>
      <c r="B782" s="3">
        <v>0.99999960938714572</v>
      </c>
      <c r="C782" s="4">
        <f t="shared" si="30"/>
        <v>4.2108207587432389E-8</v>
      </c>
    </row>
    <row r="783" spans="1:3" x14ac:dyDescent="0.4">
      <c r="A783" s="3">
        <v>0.248</v>
      </c>
      <c r="B783" s="3">
        <v>0.99999964753410187</v>
      </c>
      <c r="C783" s="4">
        <f t="shared" si="30"/>
        <v>3.814695614945407E-8</v>
      </c>
    </row>
    <row r="784" spans="1:3" x14ac:dyDescent="0.4">
      <c r="A784" s="3">
        <v>0.249</v>
      </c>
      <c r="B784" s="3">
        <v>0.99999968207863377</v>
      </c>
      <c r="C784" s="4">
        <f t="shared" si="30"/>
        <v>3.454453190165907E-8</v>
      </c>
    </row>
    <row r="785" spans="1:3" x14ac:dyDescent="0.4">
      <c r="A785" s="3">
        <v>0.25</v>
      </c>
      <c r="B785" s="3">
        <v>0.99999971334842808</v>
      </c>
      <c r="C785" s="4">
        <f t="shared" si="30"/>
        <v>3.1269794309451981E-8</v>
      </c>
    </row>
    <row r="786" spans="1:3" x14ac:dyDescent="0.4">
      <c r="A786" s="3">
        <v>0.251</v>
      </c>
      <c r="B786" s="3">
        <v>0.99999974164260241</v>
      </c>
      <c r="C786" s="4">
        <f t="shared" si="30"/>
        <v>2.8294174336807032E-8</v>
      </c>
    </row>
    <row r="787" spans="1:3" x14ac:dyDescent="0.4">
      <c r="A787" s="3">
        <v>0.252</v>
      </c>
      <c r="B787" s="3">
        <v>0.99999976723407691</v>
      </c>
      <c r="C787" s="4">
        <f t="shared" si="30"/>
        <v>2.5591474495101352E-8</v>
      </c>
    </row>
    <row r="788" spans="1:3" x14ac:dyDescent="0.4">
      <c r="A788" s="3">
        <v>0.253</v>
      </c>
      <c r="B788" s="3">
        <v>0.99999979037176101</v>
      </c>
      <c r="C788" s="4">
        <f t="shared" si="30"/>
        <v>2.3137684102003675E-8</v>
      </c>
    </row>
    <row r="789" spans="1:3" x14ac:dyDescent="0.4">
      <c r="A789" s="3">
        <v>0.254</v>
      </c>
      <c r="B789" s="3">
        <v>0.99999981128256588</v>
      </c>
      <c r="C789" s="4">
        <f t="shared" si="30"/>
        <v>2.0910804865437171E-8</v>
      </c>
    </row>
    <row r="790" spans="1:3" x14ac:dyDescent="0.4">
      <c r="A790" s="3">
        <v>0.255</v>
      </c>
      <c r="B790" s="3">
        <v>0.99999983017325933</v>
      </c>
      <c r="C790" s="4">
        <f t="shared" si="30"/>
        <v>1.8890693453954555E-8</v>
      </c>
    </row>
    <row r="791" spans="1:3" x14ac:dyDescent="0.4">
      <c r="A791" s="3">
        <v>0.25600000000000001</v>
      </c>
      <c r="B791" s="3">
        <v>0.99999984723217172</v>
      </c>
      <c r="C791" s="4">
        <f t="shared" si="30"/>
        <v>1.7058912393785874E-8</v>
      </c>
    </row>
    <row r="792" spans="1:3" x14ac:dyDescent="0.4">
      <c r="A792" s="3">
        <v>0.25700000000000001</v>
      </c>
      <c r="B792" s="3">
        <v>0.99999986263076568</v>
      </c>
      <c r="C792" s="4">
        <f t="shared" si="30"/>
        <v>1.5398593955495699E-8</v>
      </c>
    </row>
    <row r="793" spans="1:3" x14ac:dyDescent="0.4">
      <c r="A793" s="3">
        <v>0.25800000000000001</v>
      </c>
      <c r="B793" s="3">
        <v>0.99999987652507871</v>
      </c>
      <c r="C793" s="4">
        <f t="shared" si="30"/>
        <v>1.3894313033446792E-8</v>
      </c>
    </row>
    <row r="794" spans="1:3" x14ac:dyDescent="0.4">
      <c r="A794" s="3">
        <v>0.25900000000000001</v>
      </c>
      <c r="B794" s="3">
        <v>0.99999988905704984</v>
      </c>
      <c r="C794" s="4">
        <f t="shared" si="30"/>
        <v>1.2531971127494046E-8</v>
      </c>
    </row>
    <row r="795" spans="1:3" x14ac:dyDescent="0.4">
      <c r="A795" s="3">
        <v>0.26</v>
      </c>
      <c r="B795" s="3">
        <v>0.99999990035573683</v>
      </c>
      <c r="C795" s="4">
        <f t="shared" si="30"/>
        <v>1.1298686986016548E-8</v>
      </c>
    </row>
    <row r="796" spans="1:3" x14ac:dyDescent="0.4">
      <c r="A796" s="3">
        <v>0.26100000000000001</v>
      </c>
      <c r="B796" s="3">
        <v>0.99999991053843462</v>
      </c>
      <c r="C796" s="4">
        <f t="shared" si="30"/>
        <v>1.0182697796068396E-8</v>
      </c>
    </row>
    <row r="797" spans="1:3" x14ac:dyDescent="0.4">
      <c r="A797" s="3">
        <v>0.26200000000000001</v>
      </c>
      <c r="B797" s="3">
        <v>0.99999991971170143</v>
      </c>
      <c r="C797" s="4">
        <f t="shared" si="30"/>
        <v>9.1732668128230443E-9</v>
      </c>
    </row>
    <row r="798" spans="1:3" x14ac:dyDescent="0.4">
      <c r="A798" s="3">
        <v>0.26300000000000001</v>
      </c>
      <c r="B798" s="3">
        <v>0.9999999279722992</v>
      </c>
      <c r="C798" s="4">
        <f t="shared" si="30"/>
        <v>8.2605977613781079E-9</v>
      </c>
    </row>
    <row r="799" spans="1:3" x14ac:dyDescent="0.4">
      <c r="A799" s="3">
        <v>0.26400000000000001</v>
      </c>
      <c r="B799" s="3">
        <v>0.99999993540805676</v>
      </c>
      <c r="C799" s="4">
        <f t="shared" si="30"/>
        <v>7.4357575652328478E-9</v>
      </c>
    </row>
    <row r="800" spans="1:3" x14ac:dyDescent="0.4">
      <c r="A800" s="3">
        <v>0.26500000000000001</v>
      </c>
      <c r="B800" s="3">
        <v>0.99999994209865961</v>
      </c>
      <c r="C800" s="4">
        <f t="shared" si="30"/>
        <v>6.6906028495239411E-9</v>
      </c>
    </row>
    <row r="801" spans="1:3" x14ac:dyDescent="0.4">
      <c r="A801" s="3">
        <v>0.26600000000000001</v>
      </c>
      <c r="B801" s="3">
        <v>0.99999994811637394</v>
      </c>
      <c r="C801" s="4">
        <f t="shared" si="30"/>
        <v>6.0177143268447253E-9</v>
      </c>
    </row>
    <row r="802" spans="1:3" x14ac:dyDescent="0.4">
      <c r="A802" s="3">
        <v>0.26700000000000002</v>
      </c>
      <c r="B802" s="3">
        <v>0.99999995352670923</v>
      </c>
      <c r="C802" s="4">
        <f t="shared" si="30"/>
        <v>5.4103352908896341E-9</v>
      </c>
    </row>
    <row r="803" spans="1:3" x14ac:dyDescent="0.4">
      <c r="A803" s="3">
        <v>0.26800000000000002</v>
      </c>
      <c r="B803" s="3">
        <v>0.999999958389024</v>
      </c>
      <c r="C803" s="4">
        <f t="shared" si="30"/>
        <v>4.8623147730353367E-9</v>
      </c>
    </row>
    <row r="804" spans="1:3" x14ac:dyDescent="0.4">
      <c r="A804" s="3">
        <v>0.26900000000000002</v>
      </c>
      <c r="B804" s="3">
        <v>0.9999999627570807</v>
      </c>
      <c r="C804" s="4">
        <f t="shared" si="30"/>
        <v>4.36805669412621E-9</v>
      </c>
    </row>
    <row r="805" spans="1:3" x14ac:dyDescent="0.4">
      <c r="A805" s="3">
        <v>0.27</v>
      </c>
      <c r="B805" s="3">
        <v>0.99999996667955149</v>
      </c>
      <c r="C805" s="4">
        <f t="shared" si="30"/>
        <v>3.9224707926166502E-9</v>
      </c>
    </row>
    <row r="806" spans="1:3" x14ac:dyDescent="0.4">
      <c r="A806" s="3">
        <v>0.27100000000000002</v>
      </c>
      <c r="B806" s="3">
        <v>0.99999997020048226</v>
      </c>
      <c r="C806" s="4">
        <f t="shared" si="30"/>
        <v>3.5209307691630443E-9</v>
      </c>
    </row>
    <row r="807" spans="1:3" x14ac:dyDescent="0.4">
      <c r="A807" s="3">
        <v>0.27200000000000002</v>
      </c>
      <c r="B807" s="3">
        <v>0.99999997335971436</v>
      </c>
      <c r="C807" s="4">
        <f t="shared" si="30"/>
        <v>3.1592320981488342E-9</v>
      </c>
    </row>
    <row r="808" spans="1:3" x14ac:dyDescent="0.4">
      <c r="A808" s="3">
        <v>0.27300000000000002</v>
      </c>
      <c r="B808" s="3">
        <v>0.99999997619327086</v>
      </c>
      <c r="C808" s="4">
        <f t="shared" si="30"/>
        <v>2.8335565005477292E-9</v>
      </c>
    </row>
    <row r="809" spans="1:3" x14ac:dyDescent="0.4">
      <c r="A809" s="3">
        <v>0.27400000000000002</v>
      </c>
      <c r="B809" s="3">
        <v>0.99999997873370816</v>
      </c>
      <c r="C809" s="4">
        <f t="shared" si="30"/>
        <v>2.5404373049653373E-9</v>
      </c>
    </row>
    <row r="810" spans="1:3" x14ac:dyDescent="0.4">
      <c r="A810" s="3">
        <v>0.27500000000000002</v>
      </c>
      <c r="B810" s="3">
        <v>0.99999998101043752</v>
      </c>
      <c r="C810" s="4">
        <f t="shared" si="30"/>
        <v>2.2767293605951977E-9</v>
      </c>
    </row>
    <row r="811" spans="1:3" x14ac:dyDescent="0.4">
      <c r="A811" s="3">
        <v>0.27600000000000002</v>
      </c>
      <c r="B811" s="3">
        <v>0.99999998305001692</v>
      </c>
      <c r="C811" s="4">
        <f t="shared" si="30"/>
        <v>2.0395793942640239E-9</v>
      </c>
    </row>
    <row r="812" spans="1:3" x14ac:dyDescent="0.4">
      <c r="A812" s="3">
        <v>0.27700000000000002</v>
      </c>
      <c r="B812" s="3">
        <v>0.99999998487641761</v>
      </c>
      <c r="C812" s="4">
        <f t="shared" si="30"/>
        <v>1.8264006973467417E-9</v>
      </c>
    </row>
    <row r="813" spans="1:3" x14ac:dyDescent="0.4">
      <c r="A813" s="3">
        <v>0.27800000000000002</v>
      </c>
      <c r="B813" s="3">
        <v>0.99999998651126754</v>
      </c>
      <c r="C813" s="4">
        <f t="shared" si="30"/>
        <v>1.6348499221052748E-9</v>
      </c>
    </row>
    <row r="814" spans="1:3" x14ac:dyDescent="0.4">
      <c r="A814" s="3">
        <v>0.27900000000000003</v>
      </c>
      <c r="B814" s="3">
        <v>0.99999998797407075</v>
      </c>
      <c r="C814" s="4">
        <f t="shared" si="30"/>
        <v>1.4628032118935153E-9</v>
      </c>
    </row>
    <row r="815" spans="1:3" x14ac:dyDescent="0.4">
      <c r="A815" s="3">
        <v>0.28000000000000003</v>
      </c>
      <c r="B815" s="3">
        <v>0.99999998928240974</v>
      </c>
      <c r="C815" s="4">
        <f t="shared" si="30"/>
        <v>1.3083389927004418E-9</v>
      </c>
    </row>
    <row r="816" spans="1:3" x14ac:dyDescent="0.4">
      <c r="A816" s="3">
        <v>0.28100000000000003</v>
      </c>
      <c r="B816" s="3">
        <v>0.99999999045212706</v>
      </c>
      <c r="C816" s="4">
        <f t="shared" si="30"/>
        <v>1.169717323001862E-9</v>
      </c>
    </row>
    <row r="817" spans="1:3" x14ac:dyDescent="0.4">
      <c r="A817" s="3">
        <v>0.28200000000000003</v>
      </c>
      <c r="B817" s="3">
        <v>0.99999999149749175</v>
      </c>
      <c r="C817" s="4">
        <f t="shared" si="30"/>
        <v>1.0453646837049746E-9</v>
      </c>
    </row>
    <row r="818" spans="1:3" x14ac:dyDescent="0.4">
      <c r="A818" s="3">
        <v>0.28300000000000003</v>
      </c>
      <c r="B818" s="3">
        <v>0.99999999243135029</v>
      </c>
      <c r="C818" s="4">
        <f t="shared" si="30"/>
        <v>9.338585460483273E-10</v>
      </c>
    </row>
    <row r="819" spans="1:3" x14ac:dyDescent="0.4">
      <c r="A819" s="3">
        <v>0.28400000000000003</v>
      </c>
      <c r="B819" s="3">
        <v>0.9999999932652629</v>
      </c>
      <c r="C819" s="4">
        <f t="shared" si="30"/>
        <v>8.3391260563558944E-10</v>
      </c>
    </row>
    <row r="820" spans="1:3" x14ac:dyDescent="0.4">
      <c r="A820" s="3">
        <v>0.28500000000000003</v>
      </c>
      <c r="B820" s="3">
        <v>0.99999999400962858</v>
      </c>
      <c r="C820" s="4">
        <f t="shared" si="30"/>
        <v>7.4436568020530558E-10</v>
      </c>
    </row>
    <row r="821" spans="1:3" x14ac:dyDescent="0.4">
      <c r="A821" s="3">
        <v>0.28600000000000003</v>
      </c>
      <c r="B821" s="3">
        <v>0.9999999946737973</v>
      </c>
      <c r="C821" s="4">
        <f t="shared" si="30"/>
        <v>6.641687200215074E-10</v>
      </c>
    </row>
    <row r="822" spans="1:3" x14ac:dyDescent="0.4">
      <c r="A822" s="3">
        <v>0.28700000000000003</v>
      </c>
      <c r="B822" s="3">
        <v>0.99999999526617245</v>
      </c>
      <c r="C822" s="4">
        <f t="shared" si="30"/>
        <v>5.9237514893339949E-10</v>
      </c>
    </row>
    <row r="823" spans="1:3" x14ac:dyDescent="0.4">
      <c r="A823" s="3">
        <v>0.28800000000000003</v>
      </c>
      <c r="B823" s="3">
        <v>0.99999999579430321</v>
      </c>
      <c r="C823" s="4">
        <f t="shared" si="30"/>
        <v>5.2813076134583525E-10</v>
      </c>
    </row>
    <row r="824" spans="1:3" x14ac:dyDescent="0.4">
      <c r="A824" s="3">
        <v>0.28899999999999998</v>
      </c>
      <c r="B824" s="3">
        <v>0.99999999626496872</v>
      </c>
      <c r="C824" s="4">
        <f t="shared" si="30"/>
        <v>4.7066550656893469E-10</v>
      </c>
    </row>
    <row r="825" spans="1:3" x14ac:dyDescent="0.4">
      <c r="A825" s="3">
        <v>0.28999999999999998</v>
      </c>
      <c r="B825" s="3">
        <v>0.99999999668425399</v>
      </c>
      <c r="C825" s="4">
        <f t="shared" si="30"/>
        <v>4.1928527316770214E-10</v>
      </c>
    </row>
    <row r="826" spans="1:3" x14ac:dyDescent="0.4">
      <c r="A826" s="3">
        <v>0.29099999999999998</v>
      </c>
      <c r="B826" s="3">
        <v>0.99999999705761866</v>
      </c>
      <c r="C826" s="4">
        <f t="shared" si="30"/>
        <v>3.7336467251236627E-10</v>
      </c>
    </row>
    <row r="827" spans="1:3" x14ac:dyDescent="0.4">
      <c r="A827" s="3">
        <v>0.29199999999999998</v>
      </c>
      <c r="B827" s="3">
        <v>0.99999999738995893</v>
      </c>
      <c r="C827" s="4">
        <f t="shared" si="30"/>
        <v>3.323402664179298E-10</v>
      </c>
    </row>
    <row r="828" spans="1:3" x14ac:dyDescent="0.4">
      <c r="A828" s="3">
        <v>0.29299999999999998</v>
      </c>
      <c r="B828" s="3">
        <v>0.99999999768566417</v>
      </c>
      <c r="C828" s="4">
        <f t="shared" si="30"/>
        <v>2.9570523807365134E-10</v>
      </c>
    </row>
    <row r="829" spans="1:3" x14ac:dyDescent="0.4">
      <c r="A829" s="3">
        <v>0.29399999999999998</v>
      </c>
      <c r="B829" s="3">
        <v>0.99999999794866756</v>
      </c>
      <c r="C829" s="4">
        <f t="shared" si="30"/>
        <v>2.6300339683871243E-10</v>
      </c>
    </row>
    <row r="830" spans="1:3" x14ac:dyDescent="0.4">
      <c r="A830" s="3">
        <v>0.29499999999999998</v>
      </c>
      <c r="B830" s="3">
        <v>0.99999999818249219</v>
      </c>
      <c r="C830" s="4">
        <f t="shared" si="30"/>
        <v>2.3382462632781653E-10</v>
      </c>
    </row>
    <row r="831" spans="1:3" x14ac:dyDescent="0.4">
      <c r="A831" s="3">
        <v>0.29599999999999999</v>
      </c>
      <c r="B831" s="3">
        <v>0.99999999839029186</v>
      </c>
      <c r="C831" s="4">
        <f t="shared" si="30"/>
        <v>2.0779966636297331E-10</v>
      </c>
    </row>
    <row r="832" spans="1:3" x14ac:dyDescent="0.4">
      <c r="A832" s="3">
        <v>0.29699999999999999</v>
      </c>
      <c r="B832" s="3">
        <v>0.99999999857488964</v>
      </c>
      <c r="C832" s="4">
        <f t="shared" si="30"/>
        <v>1.8459778150514694E-10</v>
      </c>
    </row>
    <row r="833" spans="1:3" x14ac:dyDescent="0.4">
      <c r="A833" s="3">
        <v>0.29799999999999999</v>
      </c>
      <c r="B833" s="3">
        <v>0.99999999873881029</v>
      </c>
      <c r="C833" s="4">
        <f t="shared" si="30"/>
        <v>1.6392065482762064E-10</v>
      </c>
    </row>
    <row r="834" spans="1:3" x14ac:dyDescent="0.4">
      <c r="A834" s="3">
        <v>0.29899999999999999</v>
      </c>
      <c r="B834" s="3">
        <v>0.9999999988843119</v>
      </c>
      <c r="C834" s="4">
        <f t="shared" si="30"/>
        <v>1.4550161075987944E-10</v>
      </c>
    </row>
    <row r="835" spans="1:3" x14ac:dyDescent="0.4">
      <c r="A835" s="3">
        <v>0.3</v>
      </c>
      <c r="B835" s="3">
        <v>0.9999999990134123</v>
      </c>
      <c r="C835" s="4">
        <f t="shared" ref="C835:C898" si="31">B835-B834</f>
        <v>1.2910039703939447E-10</v>
      </c>
    </row>
    <row r="836" spans="1:3" x14ac:dyDescent="0.4">
      <c r="A836" s="3">
        <v>0.30099999999999999</v>
      </c>
      <c r="B836" s="3">
        <v>0.9999999991279146</v>
      </c>
      <c r="C836" s="4">
        <f t="shared" si="31"/>
        <v>1.1450229653320321E-10</v>
      </c>
    </row>
    <row r="837" spans="1:3" x14ac:dyDescent="0.4">
      <c r="A837" s="3">
        <v>0.30199999999999999</v>
      </c>
      <c r="B837" s="3">
        <v>0.99999999922942884</v>
      </c>
      <c r="C837" s="4">
        <f t="shared" si="31"/>
        <v>1.0151424145732335E-10</v>
      </c>
    </row>
    <row r="838" spans="1:3" x14ac:dyDescent="0.4">
      <c r="A838" s="3">
        <v>0.30299999999999999</v>
      </c>
      <c r="B838" s="3">
        <v>0.99999999931939221</v>
      </c>
      <c r="C838" s="4">
        <f t="shared" si="31"/>
        <v>8.996337008682076E-11</v>
      </c>
    </row>
    <row r="839" spans="1:3" x14ac:dyDescent="0.4">
      <c r="A839" s="3">
        <v>0.30399999999999999</v>
      </c>
      <c r="B839" s="3">
        <v>0.99999999939908724</v>
      </c>
      <c r="C839" s="4">
        <f t="shared" si="31"/>
        <v>7.9695028354365149E-11</v>
      </c>
    </row>
    <row r="840" spans="1:3" x14ac:dyDescent="0.4">
      <c r="A840" s="3">
        <v>0.30499999999999999</v>
      </c>
      <c r="B840" s="3">
        <v>0.99999999946965767</v>
      </c>
      <c r="C840" s="4">
        <f t="shared" si="31"/>
        <v>7.0570438381878375E-11</v>
      </c>
    </row>
    <row r="841" spans="1:3" x14ac:dyDescent="0.4">
      <c r="A841" s="3">
        <v>0.30599999999999999</v>
      </c>
      <c r="B841" s="3">
        <v>0.99999999953212326</v>
      </c>
      <c r="C841" s="4">
        <f t="shared" si="31"/>
        <v>6.2465588257509808E-11</v>
      </c>
    </row>
    <row r="842" spans="1:3" x14ac:dyDescent="0.4">
      <c r="A842" s="3">
        <v>0.307</v>
      </c>
      <c r="B842" s="3">
        <v>0.99999999958739261</v>
      </c>
      <c r="C842" s="4">
        <f t="shared" si="31"/>
        <v>5.5269344656494468E-11</v>
      </c>
    </row>
    <row r="843" spans="1:3" x14ac:dyDescent="0.4">
      <c r="A843" s="3">
        <v>0.308</v>
      </c>
      <c r="B843" s="3">
        <v>0.99999999963627528</v>
      </c>
      <c r="C843" s="4">
        <f t="shared" si="31"/>
        <v>4.8882675685035792E-11</v>
      </c>
    </row>
    <row r="844" spans="1:3" x14ac:dyDescent="0.4">
      <c r="A844" s="3">
        <v>0.309</v>
      </c>
      <c r="B844" s="3">
        <v>0.99999999967949205</v>
      </c>
      <c r="C844" s="4">
        <f t="shared" si="31"/>
        <v>4.3216763501163769E-11</v>
      </c>
    </row>
    <row r="845" spans="1:3" x14ac:dyDescent="0.4">
      <c r="A845" s="3">
        <v>0.31</v>
      </c>
      <c r="B845" s="3">
        <v>0.99999999971768416</v>
      </c>
      <c r="C845" s="4">
        <f t="shared" si="31"/>
        <v>3.8192116136315235E-11</v>
      </c>
    </row>
    <row r="846" spans="1:3" x14ac:dyDescent="0.4">
      <c r="A846" s="3">
        <v>0.311</v>
      </c>
      <c r="B846" s="3">
        <v>0.99999999975142251</v>
      </c>
      <c r="C846" s="4">
        <f t="shared" si="31"/>
        <v>3.3738345450728957E-11</v>
      </c>
    </row>
    <row r="847" spans="1:3" x14ac:dyDescent="0.4">
      <c r="A847" s="3">
        <v>0.312</v>
      </c>
      <c r="B847" s="3">
        <v>0.99999999978121457</v>
      </c>
      <c r="C847" s="4">
        <f t="shared" si="31"/>
        <v>2.9792057709698838E-11</v>
      </c>
    </row>
    <row r="848" spans="1:3" x14ac:dyDescent="0.4">
      <c r="A848" s="3">
        <v>0.313</v>
      </c>
      <c r="B848" s="3">
        <v>0.99999999980751131</v>
      </c>
      <c r="C848" s="4">
        <f t="shared" si="31"/>
        <v>2.6296742561271458E-11</v>
      </c>
    </row>
    <row r="849" spans="1:3" x14ac:dyDescent="0.4">
      <c r="A849" s="3">
        <v>0.314</v>
      </c>
      <c r="B849" s="3">
        <v>0.99999999983071353</v>
      </c>
      <c r="C849" s="4">
        <f t="shared" si="31"/>
        <v>2.3202217924733759E-11</v>
      </c>
    </row>
    <row r="850" spans="1:3" x14ac:dyDescent="0.4">
      <c r="A850" s="3">
        <v>0.315</v>
      </c>
      <c r="B850" s="3">
        <v>0.99999999985117716</v>
      </c>
      <c r="C850" s="4">
        <f t="shared" si="31"/>
        <v>2.0463630789890885E-11</v>
      </c>
    </row>
    <row r="851" spans="1:3" x14ac:dyDescent="0.4">
      <c r="A851" s="3">
        <v>0.316</v>
      </c>
      <c r="B851" s="3">
        <v>0.99999999986921839</v>
      </c>
      <c r="C851" s="4">
        <f t="shared" si="31"/>
        <v>1.8041235172461256E-11</v>
      </c>
    </row>
    <row r="852" spans="1:3" x14ac:dyDescent="0.4">
      <c r="A852" s="3">
        <v>0.317</v>
      </c>
      <c r="B852" s="3">
        <v>0.99999999988511745</v>
      </c>
      <c r="C852" s="4">
        <f t="shared" si="31"/>
        <v>1.5899059846447017E-11</v>
      </c>
    </row>
    <row r="853" spans="1:3" x14ac:dyDescent="0.4">
      <c r="A853" s="3">
        <v>0.318</v>
      </c>
      <c r="B853" s="3">
        <v>0.99999999989912314</v>
      </c>
      <c r="C853" s="4">
        <f t="shared" si="31"/>
        <v>1.4005685500251275E-11</v>
      </c>
    </row>
    <row r="854" spans="1:3" x14ac:dyDescent="0.4">
      <c r="A854" s="3">
        <v>0.31900000000000001</v>
      </c>
      <c r="B854" s="3">
        <v>0.99999999991145605</v>
      </c>
      <c r="C854" s="4">
        <f t="shared" si="31"/>
        <v>1.2332912469048551E-11</v>
      </c>
    </row>
    <row r="855" spans="1:3" x14ac:dyDescent="0.4">
      <c r="A855" s="3">
        <v>0.32</v>
      </c>
      <c r="B855" s="3">
        <v>0.99999999992231148</v>
      </c>
      <c r="C855" s="4">
        <f t="shared" si="31"/>
        <v>1.0855427667877393E-11</v>
      </c>
    </row>
    <row r="856" spans="1:3" x14ac:dyDescent="0.4">
      <c r="A856" s="3">
        <v>0.32100000000000001</v>
      </c>
      <c r="B856" s="3">
        <v>0.99999999993186284</v>
      </c>
      <c r="C856" s="4">
        <f t="shared" si="31"/>
        <v>9.5513597031526842E-12</v>
      </c>
    </row>
    <row r="857" spans="1:3" x14ac:dyDescent="0.4">
      <c r="A857" s="3">
        <v>0.32200000000000001</v>
      </c>
      <c r="B857" s="3">
        <v>0.99999999994026323</v>
      </c>
      <c r="C857" s="4">
        <f t="shared" si="31"/>
        <v>8.4003914935237844E-12</v>
      </c>
    </row>
    <row r="858" spans="1:3" x14ac:dyDescent="0.4">
      <c r="A858" s="3">
        <v>0.32300000000000001</v>
      </c>
      <c r="B858" s="3">
        <v>0.99999999994764854</v>
      </c>
      <c r="C858" s="4">
        <f t="shared" si="31"/>
        <v>7.3853145821090038E-12</v>
      </c>
    </row>
    <row r="859" spans="1:3" x14ac:dyDescent="0.4">
      <c r="A859" s="3">
        <v>0.32400000000000001</v>
      </c>
      <c r="B859" s="3">
        <v>0.99999999995413869</v>
      </c>
      <c r="C859" s="4">
        <f t="shared" si="31"/>
        <v>6.4901417573537401E-12</v>
      </c>
    </row>
    <row r="860" spans="1:3" x14ac:dyDescent="0.4">
      <c r="A860" s="3">
        <v>0.32500000000000001</v>
      </c>
      <c r="B860" s="3">
        <v>0.99999999995984001</v>
      </c>
      <c r="C860" s="4">
        <f t="shared" si="31"/>
        <v>5.7013282983575664E-12</v>
      </c>
    </row>
    <row r="861" spans="1:3" x14ac:dyDescent="0.4">
      <c r="A861" s="3">
        <v>0.32600000000000001</v>
      </c>
      <c r="B861" s="3">
        <v>0.99999999996484634</v>
      </c>
      <c r="C861" s="4">
        <f t="shared" si="31"/>
        <v>5.0063286849422184E-12</v>
      </c>
    </row>
    <row r="862" spans="1:3" x14ac:dyDescent="0.4">
      <c r="A862" s="3">
        <v>0.32700000000000001</v>
      </c>
      <c r="B862" s="3">
        <v>0.9999999999692406</v>
      </c>
      <c r="C862" s="4">
        <f t="shared" si="31"/>
        <v>4.3942627314663696E-12</v>
      </c>
    </row>
    <row r="863" spans="1:3" x14ac:dyDescent="0.4">
      <c r="A863" s="3">
        <v>0.32800000000000001</v>
      </c>
      <c r="B863" s="3">
        <v>0.99999999997309608</v>
      </c>
      <c r="C863" s="4">
        <f t="shared" si="31"/>
        <v>3.8554714976157811E-12</v>
      </c>
    </row>
    <row r="864" spans="1:3" x14ac:dyDescent="0.4">
      <c r="A864" s="3">
        <v>0.32900000000000001</v>
      </c>
      <c r="B864" s="3">
        <v>0.99999999997647759</v>
      </c>
      <c r="C864" s="4">
        <f t="shared" si="31"/>
        <v>3.3815172884033018E-12</v>
      </c>
    </row>
    <row r="865" spans="1:3" x14ac:dyDescent="0.4">
      <c r="A865" s="3">
        <v>0.33</v>
      </c>
      <c r="B865" s="3">
        <v>0.99999999997944211</v>
      </c>
      <c r="C865" s="4">
        <f t="shared" si="31"/>
        <v>2.964517520354093E-12</v>
      </c>
    </row>
    <row r="866" spans="1:3" x14ac:dyDescent="0.4">
      <c r="A866" s="3">
        <v>0.33100000000000002</v>
      </c>
      <c r="B866" s="3">
        <v>0.99999999998204003</v>
      </c>
      <c r="C866" s="4">
        <f t="shared" si="31"/>
        <v>2.5979218776228663E-12</v>
      </c>
    </row>
    <row r="867" spans="1:3" x14ac:dyDescent="0.4">
      <c r="A867" s="3">
        <v>0.33200000000000002</v>
      </c>
      <c r="B867" s="3">
        <v>0.99999999998431588</v>
      </c>
      <c r="C867" s="4">
        <f t="shared" si="31"/>
        <v>2.2758461781791084E-12</v>
      </c>
    </row>
    <row r="868" spans="1:3" x14ac:dyDescent="0.4">
      <c r="A868" s="3">
        <v>0.33300000000000002</v>
      </c>
      <c r="B868" s="3">
        <v>0.99999999998630862</v>
      </c>
      <c r="C868" s="4">
        <f t="shared" si="31"/>
        <v>1.9927393068996935E-12</v>
      </c>
    </row>
    <row r="869" spans="1:3" x14ac:dyDescent="0.4">
      <c r="A869" s="3">
        <v>0.33400000000000002</v>
      </c>
      <c r="B869" s="3">
        <v>0.99999999998805289</v>
      </c>
      <c r="C869" s="4">
        <f t="shared" si="31"/>
        <v>1.7442713939885834E-12</v>
      </c>
    </row>
    <row r="870" spans="1:3" x14ac:dyDescent="0.4">
      <c r="A870" s="3">
        <v>0.33500000000000002</v>
      </c>
      <c r="B870" s="3">
        <v>0.999999999989579</v>
      </c>
      <c r="C870" s="4">
        <f t="shared" si="31"/>
        <v>1.5261125696497402E-12</v>
      </c>
    </row>
    <row r="871" spans="1:3" x14ac:dyDescent="0.4">
      <c r="A871" s="3">
        <v>0.33600000000000002</v>
      </c>
      <c r="B871" s="3">
        <v>0.99999999999091382</v>
      </c>
      <c r="C871" s="4">
        <f t="shared" si="31"/>
        <v>1.3348211425068257E-12</v>
      </c>
    </row>
    <row r="872" spans="1:3" x14ac:dyDescent="0.4">
      <c r="A872" s="3">
        <v>0.33700000000000002</v>
      </c>
      <c r="B872" s="3">
        <v>0.99999999999208067</v>
      </c>
      <c r="C872" s="4">
        <f t="shared" si="31"/>
        <v>1.1668443988810395E-12</v>
      </c>
    </row>
    <row r="873" spans="1:3" x14ac:dyDescent="0.4">
      <c r="A873" s="3">
        <v>0.33800000000000002</v>
      </c>
      <c r="B873" s="3">
        <v>0.99999999999310041</v>
      </c>
      <c r="C873" s="4">
        <f t="shared" si="31"/>
        <v>1.0197398481182063E-12</v>
      </c>
    </row>
    <row r="874" spans="1:3" x14ac:dyDescent="0.4">
      <c r="A874" s="3">
        <v>0.33900000000000002</v>
      </c>
      <c r="B874" s="3">
        <v>0.99999999999399125</v>
      </c>
      <c r="C874" s="4">
        <f t="shared" si="31"/>
        <v>8.9084295495922561E-13</v>
      </c>
    </row>
    <row r="875" spans="1:3" x14ac:dyDescent="0.4">
      <c r="A875" s="3">
        <v>0.34</v>
      </c>
      <c r="B875" s="3">
        <v>0.99999999999476907</v>
      </c>
      <c r="C875" s="4">
        <f t="shared" si="31"/>
        <v>7.7782225105238467E-13</v>
      </c>
    </row>
    <row r="876" spans="1:3" x14ac:dyDescent="0.4">
      <c r="A876" s="3">
        <v>0.34100000000000003</v>
      </c>
      <c r="B876" s="3">
        <v>0.99999999999544797</v>
      </c>
      <c r="C876" s="4">
        <f t="shared" si="31"/>
        <v>6.7890137955828322E-13</v>
      </c>
    </row>
    <row r="877" spans="1:3" x14ac:dyDescent="0.4">
      <c r="A877" s="3">
        <v>0.34200000000000003</v>
      </c>
      <c r="B877" s="3">
        <v>0.99999999999604039</v>
      </c>
      <c r="C877" s="4">
        <f t="shared" si="31"/>
        <v>5.9241500593998353E-13</v>
      </c>
    </row>
    <row r="878" spans="1:3" x14ac:dyDescent="0.4">
      <c r="A878" s="3">
        <v>0.34300000000000003</v>
      </c>
      <c r="B878" s="3">
        <v>0.99999999999655698</v>
      </c>
      <c r="C878" s="4">
        <f t="shared" si="31"/>
        <v>5.1658677335808534E-13</v>
      </c>
    </row>
    <row r="879" spans="1:3" x14ac:dyDescent="0.4">
      <c r="A879" s="3">
        <v>0.34400000000000003</v>
      </c>
      <c r="B879" s="3">
        <v>0.99999999999700739</v>
      </c>
      <c r="C879" s="4">
        <f t="shared" si="31"/>
        <v>4.5041748109042601E-13</v>
      </c>
    </row>
    <row r="880" spans="1:3" x14ac:dyDescent="0.4">
      <c r="A880" s="3">
        <v>0.34500000000000003</v>
      </c>
      <c r="B880" s="3">
        <v>0.99999999999739986</v>
      </c>
      <c r="C880" s="4">
        <f t="shared" si="31"/>
        <v>3.9246383920499284E-13</v>
      </c>
    </row>
    <row r="881" spans="1:3" x14ac:dyDescent="0.4">
      <c r="A881" s="3">
        <v>0.34600000000000003</v>
      </c>
      <c r="B881" s="3">
        <v>0.99999999999774181</v>
      </c>
      <c r="C881" s="4">
        <f t="shared" si="31"/>
        <v>3.4194869158454821E-13</v>
      </c>
    </row>
    <row r="882" spans="1:3" x14ac:dyDescent="0.4">
      <c r="A882" s="3">
        <v>0.34700000000000003</v>
      </c>
      <c r="B882" s="3">
        <v>0.99999999999803946</v>
      </c>
      <c r="C882" s="4">
        <f t="shared" si="31"/>
        <v>2.9765079290200447E-13</v>
      </c>
    </row>
    <row r="883" spans="1:3" x14ac:dyDescent="0.4">
      <c r="A883" s="3">
        <v>0.34800000000000003</v>
      </c>
      <c r="B883" s="3">
        <v>0.99999999999829858</v>
      </c>
      <c r="C883" s="4">
        <f t="shared" si="31"/>
        <v>2.5912605394751154E-13</v>
      </c>
    </row>
    <row r="884" spans="1:3" x14ac:dyDescent="0.4">
      <c r="A884" s="3">
        <v>0.34900000000000003</v>
      </c>
      <c r="B884" s="3">
        <v>0.99999999999852407</v>
      </c>
      <c r="C884" s="4">
        <f t="shared" si="31"/>
        <v>2.2548629630136929E-13</v>
      </c>
    </row>
    <row r="885" spans="1:3" x14ac:dyDescent="0.4">
      <c r="A885" s="3">
        <v>0.35000000000000003</v>
      </c>
      <c r="B885" s="3">
        <v>0.99999999999872013</v>
      </c>
      <c r="C885" s="4">
        <f t="shared" si="31"/>
        <v>1.9606538614880265E-13</v>
      </c>
    </row>
    <row r="886" spans="1:3" x14ac:dyDescent="0.4">
      <c r="A886" s="3">
        <v>0.35100000000000003</v>
      </c>
      <c r="B886" s="3">
        <v>0.99999999999889067</v>
      </c>
      <c r="C886" s="4">
        <f t="shared" si="31"/>
        <v>1.7053025658242404E-13</v>
      </c>
    </row>
    <row r="887" spans="1:3" x14ac:dyDescent="0.4">
      <c r="A887" s="3">
        <v>0.35199999999999998</v>
      </c>
      <c r="B887" s="3">
        <v>0.99999999999903877</v>
      </c>
      <c r="C887" s="4">
        <f t="shared" si="31"/>
        <v>1.4810375148499588E-13</v>
      </c>
    </row>
    <row r="888" spans="1:3" x14ac:dyDescent="0.4">
      <c r="A888" s="3">
        <v>0.35299999999999998</v>
      </c>
      <c r="B888" s="3">
        <v>0.99999999999916744</v>
      </c>
      <c r="C888" s="4">
        <f t="shared" si="31"/>
        <v>1.2867484855405564E-13</v>
      </c>
    </row>
    <row r="889" spans="1:3" x14ac:dyDescent="0.4">
      <c r="A889" s="3">
        <v>0.35399999999999998</v>
      </c>
      <c r="B889" s="3">
        <v>0.99999999999927924</v>
      </c>
      <c r="C889" s="4">
        <f t="shared" si="31"/>
        <v>1.1179945857975326E-13</v>
      </c>
    </row>
    <row r="890" spans="1:3" x14ac:dyDescent="0.4">
      <c r="A890" s="3">
        <v>0.35499999999999998</v>
      </c>
      <c r="B890" s="3">
        <v>0.99999999999937617</v>
      </c>
      <c r="C890" s="4">
        <f t="shared" si="31"/>
        <v>9.6922470049776166E-14</v>
      </c>
    </row>
    <row r="891" spans="1:3" x14ac:dyDescent="0.4">
      <c r="A891" s="3">
        <v>0.35599999999999998</v>
      </c>
      <c r="B891" s="3">
        <v>0.99999999999946032</v>
      </c>
      <c r="C891" s="4">
        <f t="shared" si="31"/>
        <v>8.4154905266586866E-14</v>
      </c>
    </row>
    <row r="892" spans="1:3" x14ac:dyDescent="0.4">
      <c r="A892" s="3">
        <v>0.35699999999999998</v>
      </c>
      <c r="B892" s="3">
        <v>0.99999999999953337</v>
      </c>
      <c r="C892" s="4">
        <f t="shared" si="31"/>
        <v>7.30526750203353E-14</v>
      </c>
    </row>
    <row r="893" spans="1:3" x14ac:dyDescent="0.4">
      <c r="A893" s="3">
        <v>0.35799999999999998</v>
      </c>
      <c r="B893" s="3">
        <v>0.99999999999959666</v>
      </c>
      <c r="C893" s="4">
        <f t="shared" si="31"/>
        <v>6.3282712403633923E-14</v>
      </c>
    </row>
    <row r="894" spans="1:3" x14ac:dyDescent="0.4">
      <c r="A894" s="3">
        <v>0.35899999999999999</v>
      </c>
      <c r="B894" s="3">
        <v>0.99999999999965139</v>
      </c>
      <c r="C894" s="4">
        <f t="shared" si="31"/>
        <v>5.4733995114020217E-14</v>
      </c>
    </row>
    <row r="895" spans="1:3" x14ac:dyDescent="0.4">
      <c r="A895" s="3">
        <v>0.36</v>
      </c>
      <c r="B895" s="3">
        <v>0.99999999999969891</v>
      </c>
      <c r="C895" s="4">
        <f t="shared" si="31"/>
        <v>4.75175454539567E-14</v>
      </c>
    </row>
    <row r="896" spans="1:3" x14ac:dyDescent="0.4">
      <c r="A896" s="3">
        <v>0.36099999999999999</v>
      </c>
      <c r="B896" s="3">
        <v>0.9999999999997401</v>
      </c>
      <c r="C896" s="4">
        <f t="shared" si="31"/>
        <v>4.1189274213593308E-14</v>
      </c>
    </row>
    <row r="897" spans="1:3" x14ac:dyDescent="0.4">
      <c r="A897" s="3">
        <v>0.36199999999999999</v>
      </c>
      <c r="B897" s="3">
        <v>0.99999999999977562</v>
      </c>
      <c r="C897" s="4">
        <f t="shared" si="31"/>
        <v>3.5527136788005009E-14</v>
      </c>
    </row>
    <row r="898" spans="1:3" x14ac:dyDescent="0.4">
      <c r="A898" s="3">
        <v>0.36299999999999999</v>
      </c>
      <c r="B898" s="3">
        <v>0.99999999999980649</v>
      </c>
      <c r="C898" s="4">
        <f t="shared" si="31"/>
        <v>3.0864200084579352E-14</v>
      </c>
    </row>
    <row r="899" spans="1:3" x14ac:dyDescent="0.4">
      <c r="A899" s="3">
        <v>0.36399999999999999</v>
      </c>
      <c r="B899" s="3">
        <v>0.99999999999983313</v>
      </c>
      <c r="C899" s="4">
        <f t="shared" ref="C899:C962" si="32">B899-B898</f>
        <v>2.6645352591003757E-14</v>
      </c>
    </row>
    <row r="900" spans="1:3" x14ac:dyDescent="0.4">
      <c r="A900" s="3">
        <v>0.36499999999999999</v>
      </c>
      <c r="B900" s="3">
        <v>0.99999999999985612</v>
      </c>
      <c r="C900" s="4">
        <f t="shared" si="32"/>
        <v>2.298161660974074E-14</v>
      </c>
    </row>
    <row r="901" spans="1:3" x14ac:dyDescent="0.4">
      <c r="A901" s="3">
        <v>0.36599999999999999</v>
      </c>
      <c r="B901" s="3">
        <v>0.99999999999987599</v>
      </c>
      <c r="C901" s="4">
        <f t="shared" si="32"/>
        <v>1.9872992140790302E-14</v>
      </c>
    </row>
    <row r="902" spans="1:3" x14ac:dyDescent="0.4">
      <c r="A902" s="3">
        <v>0.36699999999999999</v>
      </c>
      <c r="B902" s="3">
        <v>0.9999999999998932</v>
      </c>
      <c r="C902" s="4">
        <f t="shared" si="32"/>
        <v>1.7208456881689926E-14</v>
      </c>
    </row>
    <row r="903" spans="1:3" x14ac:dyDescent="0.4">
      <c r="A903" s="3">
        <v>0.36799999999999999</v>
      </c>
      <c r="B903" s="3">
        <v>0.99999999999990807</v>
      </c>
      <c r="C903" s="4">
        <f t="shared" si="32"/>
        <v>1.4876988529977098E-14</v>
      </c>
    </row>
    <row r="904" spans="1:3" x14ac:dyDescent="0.4">
      <c r="A904" s="3">
        <v>0.36899999999999999</v>
      </c>
      <c r="B904" s="3">
        <v>0.99999999999992084</v>
      </c>
      <c r="C904" s="4">
        <f t="shared" si="32"/>
        <v>1.27675647831893E-14</v>
      </c>
    </row>
    <row r="905" spans="1:3" x14ac:dyDescent="0.4">
      <c r="A905" s="3">
        <v>0.37</v>
      </c>
      <c r="B905" s="3">
        <v>0.99999999999993194</v>
      </c>
      <c r="C905" s="4">
        <f t="shared" si="32"/>
        <v>1.1102230246251565E-14</v>
      </c>
    </row>
    <row r="906" spans="1:3" x14ac:dyDescent="0.4">
      <c r="A906" s="3">
        <v>0.371</v>
      </c>
      <c r="B906" s="3">
        <v>0.99999999999994149</v>
      </c>
      <c r="C906" s="4">
        <f t="shared" si="32"/>
        <v>9.5479180117763462E-15</v>
      </c>
    </row>
    <row r="907" spans="1:3" x14ac:dyDescent="0.4">
      <c r="A907" s="3">
        <v>0.372</v>
      </c>
      <c r="B907" s="3">
        <v>0.99999999999994971</v>
      </c>
      <c r="C907" s="4">
        <f t="shared" si="32"/>
        <v>8.2156503822261584E-15</v>
      </c>
    </row>
    <row r="908" spans="1:3" x14ac:dyDescent="0.4">
      <c r="A908" s="3">
        <v>0.373</v>
      </c>
      <c r="B908" s="3">
        <v>0.9999999999999567</v>
      </c>
      <c r="C908" s="4">
        <f t="shared" si="32"/>
        <v>6.9944050551384862E-15</v>
      </c>
    </row>
    <row r="909" spans="1:3" x14ac:dyDescent="0.4">
      <c r="A909" s="3">
        <v>0.374</v>
      </c>
      <c r="B909" s="3">
        <v>0.99999999999996281</v>
      </c>
      <c r="C909" s="4">
        <f t="shared" si="32"/>
        <v>6.106226635438361E-15</v>
      </c>
    </row>
    <row r="910" spans="1:3" x14ac:dyDescent="0.4">
      <c r="A910" s="3">
        <v>0.375</v>
      </c>
      <c r="B910" s="3">
        <v>0.99999999999996814</v>
      </c>
      <c r="C910" s="4">
        <f t="shared" si="32"/>
        <v>5.3290705182007514E-15</v>
      </c>
    </row>
    <row r="911" spans="1:3" x14ac:dyDescent="0.4">
      <c r="A911" s="3">
        <v>0.376</v>
      </c>
      <c r="B911" s="3">
        <v>0.99999999999997258</v>
      </c>
      <c r="C911" s="4">
        <f t="shared" si="32"/>
        <v>4.4408920985006262E-15</v>
      </c>
    </row>
    <row r="912" spans="1:3" x14ac:dyDescent="0.4">
      <c r="A912" s="3">
        <v>0.377</v>
      </c>
      <c r="B912" s="3">
        <v>0.99999999999997646</v>
      </c>
      <c r="C912" s="4">
        <f t="shared" si="32"/>
        <v>3.8857805861880479E-15</v>
      </c>
    </row>
    <row r="913" spans="1:3" x14ac:dyDescent="0.4">
      <c r="A913" s="3">
        <v>0.378</v>
      </c>
      <c r="B913" s="3">
        <v>0.99999999999997979</v>
      </c>
      <c r="C913" s="4">
        <f t="shared" si="32"/>
        <v>3.3306690738754696E-15</v>
      </c>
    </row>
    <row r="914" spans="1:3" x14ac:dyDescent="0.4">
      <c r="A914" s="3">
        <v>0.379</v>
      </c>
      <c r="B914" s="3">
        <v>0.99999999999998268</v>
      </c>
      <c r="C914" s="4">
        <f t="shared" si="32"/>
        <v>2.886579864025407E-15</v>
      </c>
    </row>
    <row r="915" spans="1:3" x14ac:dyDescent="0.4">
      <c r="A915" s="3">
        <v>0.38</v>
      </c>
      <c r="B915" s="3">
        <v>0.99999999999998523</v>
      </c>
      <c r="C915" s="4">
        <f t="shared" si="32"/>
        <v>2.55351295663786E-15</v>
      </c>
    </row>
    <row r="916" spans="1:3" x14ac:dyDescent="0.4">
      <c r="A916" s="3">
        <v>0.38100000000000001</v>
      </c>
      <c r="B916" s="3">
        <v>0.99999999999998734</v>
      </c>
      <c r="C916" s="4">
        <f t="shared" si="32"/>
        <v>2.1094237467877974E-15</v>
      </c>
    </row>
    <row r="917" spans="1:3" x14ac:dyDescent="0.4">
      <c r="A917" s="3">
        <v>0.38200000000000001</v>
      </c>
      <c r="B917" s="3">
        <v>0.99999999999998912</v>
      </c>
      <c r="C917" s="4">
        <f t="shared" si="32"/>
        <v>1.7763568394002505E-15</v>
      </c>
    </row>
    <row r="918" spans="1:3" x14ac:dyDescent="0.4">
      <c r="A918" s="3">
        <v>0.38300000000000001</v>
      </c>
      <c r="B918" s="3">
        <v>0.99999999999999067</v>
      </c>
      <c r="C918" s="4">
        <f t="shared" si="32"/>
        <v>1.5543122344752192E-15</v>
      </c>
    </row>
    <row r="919" spans="1:3" x14ac:dyDescent="0.4">
      <c r="A919" s="3">
        <v>0.38400000000000001</v>
      </c>
      <c r="B919" s="3">
        <v>0.99999999999999201</v>
      </c>
      <c r="C919" s="4">
        <f t="shared" si="32"/>
        <v>1.3322676295501878E-15</v>
      </c>
    </row>
    <row r="920" spans="1:3" x14ac:dyDescent="0.4">
      <c r="A920" s="3">
        <v>0.38500000000000001</v>
      </c>
      <c r="B920" s="3">
        <v>0.99999999999999323</v>
      </c>
      <c r="C920" s="4">
        <f t="shared" si="32"/>
        <v>1.2212453270876722E-15</v>
      </c>
    </row>
    <row r="921" spans="1:3" x14ac:dyDescent="0.4">
      <c r="A921" s="3">
        <v>0.38600000000000001</v>
      </c>
      <c r="B921" s="3">
        <v>0.99999999999999423</v>
      </c>
      <c r="C921" s="4">
        <f t="shared" si="32"/>
        <v>9.9920072216264089E-16</v>
      </c>
    </row>
    <row r="922" spans="1:3" x14ac:dyDescent="0.4">
      <c r="A922" s="3">
        <v>0.38700000000000001</v>
      </c>
      <c r="B922" s="3">
        <v>0.999999999999995</v>
      </c>
      <c r="C922" s="4">
        <f t="shared" si="32"/>
        <v>0</v>
      </c>
    </row>
    <row r="923" spans="1:3" x14ac:dyDescent="0.4">
      <c r="A923" s="3">
        <v>0.38800000000000001</v>
      </c>
      <c r="B923" s="3">
        <v>0.99999999999999578</v>
      </c>
      <c r="C923" s="4">
        <f t="shared" si="32"/>
        <v>0</v>
      </c>
    </row>
    <row r="924" spans="1:3" x14ac:dyDescent="0.4">
      <c r="A924" s="3">
        <v>0.38900000000000001</v>
      </c>
      <c r="B924" s="3">
        <v>0.99999999999999634</v>
      </c>
      <c r="C924" s="4">
        <f t="shared" si="32"/>
        <v>0</v>
      </c>
    </row>
    <row r="925" spans="1:3" x14ac:dyDescent="0.4">
      <c r="A925" s="3">
        <v>0.39</v>
      </c>
      <c r="B925" s="3">
        <v>0.99999999999999689</v>
      </c>
      <c r="C925" s="4">
        <f t="shared" si="32"/>
        <v>0</v>
      </c>
    </row>
    <row r="926" spans="1:3" x14ac:dyDescent="0.4">
      <c r="A926" s="3">
        <v>0.39100000000000001</v>
      </c>
      <c r="B926" s="3">
        <v>0.99999999999999734</v>
      </c>
      <c r="C926" s="4">
        <f t="shared" si="32"/>
        <v>0</v>
      </c>
    </row>
    <row r="927" spans="1:3" x14ac:dyDescent="0.4">
      <c r="A927" s="3">
        <v>0.39200000000000002</v>
      </c>
      <c r="B927" s="3">
        <v>0.99999999999999778</v>
      </c>
      <c r="C927" s="4">
        <f t="shared" si="32"/>
        <v>0</v>
      </c>
    </row>
    <row r="928" spans="1:3" x14ac:dyDescent="0.4">
      <c r="A928" s="3">
        <v>0.39300000000000002</v>
      </c>
      <c r="B928" s="3">
        <v>0.99999999999999811</v>
      </c>
      <c r="C928" s="4">
        <f t="shared" si="32"/>
        <v>0</v>
      </c>
    </row>
    <row r="929" spans="1:3" x14ac:dyDescent="0.4">
      <c r="A929" s="3">
        <v>0.39400000000000002</v>
      </c>
      <c r="B929" s="3">
        <v>0.99999999999999833</v>
      </c>
      <c r="C929" s="4">
        <f t="shared" si="32"/>
        <v>0</v>
      </c>
    </row>
    <row r="930" spans="1:3" x14ac:dyDescent="0.4">
      <c r="A930" s="3">
        <v>0.39500000000000002</v>
      </c>
      <c r="B930" s="3">
        <v>0.99999999999999856</v>
      </c>
      <c r="C930" s="4">
        <f t="shared" si="32"/>
        <v>0</v>
      </c>
    </row>
    <row r="931" spans="1:3" x14ac:dyDescent="0.4">
      <c r="A931" s="3">
        <v>0.39600000000000002</v>
      </c>
      <c r="B931" s="3">
        <v>0.99999999999999878</v>
      </c>
      <c r="C931" s="4">
        <f t="shared" si="32"/>
        <v>0</v>
      </c>
    </row>
    <row r="932" spans="1:3" x14ac:dyDescent="0.4">
      <c r="A932" s="3">
        <v>0.39700000000000002</v>
      </c>
      <c r="B932" s="3">
        <v>0.999999999999999</v>
      </c>
      <c r="C932" s="4">
        <f t="shared" si="32"/>
        <v>0</v>
      </c>
    </row>
    <row r="933" spans="1:3" x14ac:dyDescent="0.4">
      <c r="A933" s="3">
        <v>0.39800000000000002</v>
      </c>
      <c r="B933" s="3">
        <v>0.99999999999999911</v>
      </c>
      <c r="C933" s="4">
        <f t="shared" si="32"/>
        <v>0</v>
      </c>
    </row>
    <row r="934" spans="1:3" x14ac:dyDescent="0.4">
      <c r="A934" s="3">
        <v>0.39900000000000002</v>
      </c>
      <c r="B934" s="3">
        <v>0.99999999999999922</v>
      </c>
      <c r="C934" s="4">
        <f t="shared" si="32"/>
        <v>0</v>
      </c>
    </row>
    <row r="935" spans="1:3" x14ac:dyDescent="0.4">
      <c r="A935" s="3">
        <v>0.4</v>
      </c>
      <c r="B935" s="3">
        <v>0.99999999999999933</v>
      </c>
      <c r="C935" s="4">
        <f t="shared" si="32"/>
        <v>0</v>
      </c>
    </row>
    <row r="936" spans="1:3" x14ac:dyDescent="0.4">
      <c r="A936" s="3">
        <v>0.40100000000000002</v>
      </c>
      <c r="B936" s="3">
        <v>0.99999999999999944</v>
      </c>
      <c r="C936" s="4">
        <f t="shared" si="32"/>
        <v>0</v>
      </c>
    </row>
    <row r="937" spans="1:3" x14ac:dyDescent="0.4">
      <c r="A937" s="3">
        <v>0.40200000000000002</v>
      </c>
      <c r="B937" s="3">
        <v>0.99999999999999956</v>
      </c>
      <c r="C937" s="4">
        <f t="shared" si="32"/>
        <v>0</v>
      </c>
    </row>
    <row r="938" spans="1:3" x14ac:dyDescent="0.4">
      <c r="A938" s="3">
        <v>0.40300000000000002</v>
      </c>
      <c r="B938" s="3">
        <v>0.99999999999999967</v>
      </c>
      <c r="C938" s="4">
        <f t="shared" si="32"/>
        <v>0</v>
      </c>
    </row>
    <row r="939" spans="1:3" x14ac:dyDescent="0.4">
      <c r="A939" s="3">
        <v>0.40400000000000003</v>
      </c>
      <c r="B939" s="3">
        <v>0.99999999999999967</v>
      </c>
      <c r="C939" s="4">
        <f t="shared" si="32"/>
        <v>0</v>
      </c>
    </row>
    <row r="940" spans="1:3" x14ac:dyDescent="0.4">
      <c r="A940" s="3">
        <v>0.40500000000000003</v>
      </c>
      <c r="B940" s="3">
        <v>0.99999999999999978</v>
      </c>
      <c r="C940" s="4">
        <f t="shared" si="32"/>
        <v>0</v>
      </c>
    </row>
    <row r="941" spans="1:3" x14ac:dyDescent="0.4">
      <c r="A941" s="3">
        <v>0.40600000000000003</v>
      </c>
      <c r="B941" s="3">
        <v>0.99999999999999978</v>
      </c>
      <c r="C941" s="4">
        <f t="shared" si="32"/>
        <v>0</v>
      </c>
    </row>
    <row r="942" spans="1:3" x14ac:dyDescent="0.4">
      <c r="A942" s="3">
        <v>0.40700000000000003</v>
      </c>
      <c r="B942" s="3">
        <v>0.99999999999999978</v>
      </c>
      <c r="C942" s="4">
        <f t="shared" si="32"/>
        <v>0</v>
      </c>
    </row>
    <row r="943" spans="1:3" x14ac:dyDescent="0.4">
      <c r="A943" s="3">
        <v>0.40800000000000003</v>
      </c>
      <c r="B943" s="3">
        <v>0.99999999999999978</v>
      </c>
      <c r="C943" s="4">
        <f t="shared" si="32"/>
        <v>0</v>
      </c>
    </row>
    <row r="944" spans="1:3" x14ac:dyDescent="0.4">
      <c r="A944" s="3">
        <v>0.40900000000000003</v>
      </c>
      <c r="B944" s="3">
        <v>0.99999999999999989</v>
      </c>
      <c r="C944" s="4">
        <f t="shared" si="32"/>
        <v>0</v>
      </c>
    </row>
    <row r="945" spans="1:3" x14ac:dyDescent="0.4">
      <c r="A945" s="3">
        <v>0.41000000000000003</v>
      </c>
      <c r="B945" s="3">
        <v>0.99999999999999989</v>
      </c>
      <c r="C945" s="4">
        <f t="shared" si="32"/>
        <v>0</v>
      </c>
    </row>
    <row r="946" spans="1:3" x14ac:dyDescent="0.4">
      <c r="A946" s="3">
        <v>0.41100000000000003</v>
      </c>
      <c r="B946" s="3">
        <v>0.99999999999999989</v>
      </c>
      <c r="C946" s="4">
        <f t="shared" si="32"/>
        <v>0</v>
      </c>
    </row>
    <row r="947" spans="1:3" x14ac:dyDescent="0.4">
      <c r="A947" s="3">
        <v>0.41200000000000003</v>
      </c>
      <c r="B947" s="3">
        <v>0.99999999999999989</v>
      </c>
      <c r="C947" s="4">
        <f t="shared" si="32"/>
        <v>0</v>
      </c>
    </row>
    <row r="948" spans="1:3" x14ac:dyDescent="0.4">
      <c r="A948" s="3">
        <v>0.41300000000000003</v>
      </c>
      <c r="B948" s="3">
        <v>0.99999999999999989</v>
      </c>
      <c r="C948" s="4">
        <f t="shared" si="32"/>
        <v>0</v>
      </c>
    </row>
    <row r="949" spans="1:3" x14ac:dyDescent="0.4">
      <c r="A949" s="3">
        <v>0.41400000000000003</v>
      </c>
      <c r="B949" s="3">
        <v>0.99999999999999989</v>
      </c>
      <c r="C949" s="4">
        <f t="shared" si="32"/>
        <v>0</v>
      </c>
    </row>
    <row r="950" spans="1:3" x14ac:dyDescent="0.4">
      <c r="A950" s="3">
        <v>0.41500000000000004</v>
      </c>
      <c r="B950" s="3">
        <v>1</v>
      </c>
      <c r="C950" s="4">
        <f t="shared" si="32"/>
        <v>0</v>
      </c>
    </row>
    <row r="951" spans="1:3" x14ac:dyDescent="0.4">
      <c r="A951" s="3">
        <v>0.41600000000000004</v>
      </c>
      <c r="B951" s="3">
        <v>1</v>
      </c>
      <c r="C951" s="4">
        <f t="shared" si="32"/>
        <v>0</v>
      </c>
    </row>
    <row r="952" spans="1:3" x14ac:dyDescent="0.4">
      <c r="A952" s="3">
        <v>0.41699999999999998</v>
      </c>
      <c r="B952" s="3">
        <v>1</v>
      </c>
      <c r="C952" s="4">
        <f t="shared" si="32"/>
        <v>0</v>
      </c>
    </row>
    <row r="953" spans="1:3" x14ac:dyDescent="0.4">
      <c r="A953" s="3">
        <v>0.41799999999999998</v>
      </c>
      <c r="B953" s="3">
        <v>1</v>
      </c>
      <c r="C953" s="4">
        <f t="shared" si="32"/>
        <v>0</v>
      </c>
    </row>
    <row r="954" spans="1:3" x14ac:dyDescent="0.4">
      <c r="A954" s="3">
        <v>0.41899999999999998</v>
      </c>
      <c r="B954" s="3">
        <v>1</v>
      </c>
      <c r="C954" s="4">
        <f t="shared" si="32"/>
        <v>0</v>
      </c>
    </row>
    <row r="955" spans="1:3" x14ac:dyDescent="0.4">
      <c r="A955" s="3">
        <v>0.42</v>
      </c>
      <c r="B955" s="3">
        <v>1</v>
      </c>
      <c r="C955" s="4">
        <f t="shared" si="32"/>
        <v>0</v>
      </c>
    </row>
    <row r="956" spans="1:3" x14ac:dyDescent="0.4">
      <c r="A956" s="3">
        <v>0.42099999999999999</v>
      </c>
      <c r="B956" s="3">
        <v>1</v>
      </c>
      <c r="C956" s="4">
        <f t="shared" si="32"/>
        <v>0</v>
      </c>
    </row>
    <row r="957" spans="1:3" x14ac:dyDescent="0.4">
      <c r="A957" s="3">
        <v>0.42199999999999999</v>
      </c>
      <c r="B957" s="3">
        <v>1</v>
      </c>
      <c r="C957" s="4">
        <f t="shared" si="32"/>
        <v>0</v>
      </c>
    </row>
    <row r="958" spans="1:3" x14ac:dyDescent="0.4">
      <c r="A958" s="3">
        <v>0.42299999999999999</v>
      </c>
      <c r="B958" s="3">
        <v>1</v>
      </c>
      <c r="C958" s="4">
        <f t="shared" si="32"/>
        <v>0</v>
      </c>
    </row>
    <row r="959" spans="1:3" x14ac:dyDescent="0.4">
      <c r="A959" s="3">
        <v>0.42399999999999999</v>
      </c>
      <c r="B959" s="3">
        <v>1</v>
      </c>
      <c r="C959" s="4">
        <f t="shared" si="32"/>
        <v>0</v>
      </c>
    </row>
    <row r="960" spans="1:3" x14ac:dyDescent="0.4">
      <c r="A960" s="3">
        <v>0.42499999999999999</v>
      </c>
      <c r="B960" s="3">
        <v>1</v>
      </c>
      <c r="C960" s="4">
        <f t="shared" si="32"/>
        <v>0</v>
      </c>
    </row>
    <row r="961" spans="1:3" x14ac:dyDescent="0.4">
      <c r="A961" s="3">
        <v>0.42599999999999999</v>
      </c>
      <c r="B961" s="3">
        <v>1</v>
      </c>
      <c r="C961" s="4">
        <f t="shared" si="32"/>
        <v>0</v>
      </c>
    </row>
    <row r="962" spans="1:3" x14ac:dyDescent="0.4">
      <c r="A962" s="3">
        <v>0.42699999999999999</v>
      </c>
      <c r="B962" s="3">
        <v>1</v>
      </c>
      <c r="C962" s="4">
        <f t="shared" si="32"/>
        <v>0</v>
      </c>
    </row>
    <row r="963" spans="1:3" x14ac:dyDescent="0.4">
      <c r="A963" s="3">
        <v>0.42799999999999999</v>
      </c>
      <c r="B963" s="3">
        <v>1</v>
      </c>
      <c r="C963" s="4">
        <f t="shared" ref="C963:C1026" si="33">B963-B962</f>
        <v>0</v>
      </c>
    </row>
    <row r="964" spans="1:3" x14ac:dyDescent="0.4">
      <c r="A964" s="3">
        <v>0.42899999999999999</v>
      </c>
      <c r="B964" s="3">
        <v>1</v>
      </c>
      <c r="C964" s="4">
        <f t="shared" si="33"/>
        <v>0</v>
      </c>
    </row>
    <row r="965" spans="1:3" x14ac:dyDescent="0.4">
      <c r="A965" s="3">
        <v>0.43</v>
      </c>
      <c r="B965" s="3">
        <v>1</v>
      </c>
      <c r="C965" s="4">
        <f t="shared" si="33"/>
        <v>0</v>
      </c>
    </row>
    <row r="966" spans="1:3" x14ac:dyDescent="0.4">
      <c r="A966" s="3">
        <v>0.43099999999999999</v>
      </c>
      <c r="B966" s="3">
        <v>1</v>
      </c>
      <c r="C966" s="4">
        <f t="shared" si="33"/>
        <v>0</v>
      </c>
    </row>
    <row r="967" spans="1:3" x14ac:dyDescent="0.4">
      <c r="A967" s="3">
        <v>0.432</v>
      </c>
      <c r="B967" s="3">
        <v>1</v>
      </c>
      <c r="C967" s="4">
        <f t="shared" si="33"/>
        <v>0</v>
      </c>
    </row>
    <row r="968" spans="1:3" x14ac:dyDescent="0.4">
      <c r="A968" s="3">
        <v>0.433</v>
      </c>
      <c r="B968" s="3">
        <v>1</v>
      </c>
      <c r="C968" s="4">
        <f t="shared" si="33"/>
        <v>0</v>
      </c>
    </row>
    <row r="969" spans="1:3" x14ac:dyDescent="0.4">
      <c r="A969" s="3">
        <v>0.434</v>
      </c>
      <c r="B969" s="3">
        <v>1</v>
      </c>
      <c r="C969" s="4">
        <f t="shared" si="33"/>
        <v>0</v>
      </c>
    </row>
    <row r="970" spans="1:3" x14ac:dyDescent="0.4">
      <c r="A970" s="3">
        <v>0.435</v>
      </c>
      <c r="B970" s="3">
        <v>1</v>
      </c>
      <c r="C970" s="4">
        <f t="shared" si="33"/>
        <v>0</v>
      </c>
    </row>
    <row r="971" spans="1:3" x14ac:dyDescent="0.4">
      <c r="A971" s="3">
        <v>0.436</v>
      </c>
      <c r="B971" s="3">
        <v>1</v>
      </c>
      <c r="C971" s="4">
        <f t="shared" si="33"/>
        <v>0</v>
      </c>
    </row>
    <row r="972" spans="1:3" x14ac:dyDescent="0.4">
      <c r="A972" s="3">
        <v>0.437</v>
      </c>
      <c r="B972" s="3">
        <v>1</v>
      </c>
      <c r="C972" s="4">
        <f t="shared" si="33"/>
        <v>0</v>
      </c>
    </row>
    <row r="973" spans="1:3" x14ac:dyDescent="0.4">
      <c r="A973" s="3">
        <v>0.438</v>
      </c>
      <c r="B973" s="3">
        <v>1</v>
      </c>
      <c r="C973" s="4">
        <f t="shared" si="33"/>
        <v>0</v>
      </c>
    </row>
    <row r="974" spans="1:3" x14ac:dyDescent="0.4">
      <c r="A974" s="3">
        <v>0.439</v>
      </c>
      <c r="B974" s="3">
        <v>1</v>
      </c>
      <c r="C974" s="4">
        <f t="shared" si="33"/>
        <v>0</v>
      </c>
    </row>
    <row r="975" spans="1:3" x14ac:dyDescent="0.4">
      <c r="A975" s="3">
        <v>0.44</v>
      </c>
      <c r="B975" s="3">
        <v>1</v>
      </c>
      <c r="C975" s="4">
        <f t="shared" si="33"/>
        <v>0</v>
      </c>
    </row>
    <row r="976" spans="1:3" x14ac:dyDescent="0.4">
      <c r="A976" s="3">
        <v>0.441</v>
      </c>
      <c r="B976" s="3">
        <v>1</v>
      </c>
      <c r="C976" s="4">
        <f t="shared" si="33"/>
        <v>0</v>
      </c>
    </row>
    <row r="977" spans="1:3" x14ac:dyDescent="0.4">
      <c r="A977" s="3">
        <v>0.442</v>
      </c>
      <c r="B977" s="3">
        <v>1</v>
      </c>
      <c r="C977" s="4">
        <f t="shared" si="33"/>
        <v>0</v>
      </c>
    </row>
    <row r="978" spans="1:3" x14ac:dyDescent="0.4">
      <c r="A978" s="3">
        <v>0.443</v>
      </c>
      <c r="B978" s="3">
        <v>1</v>
      </c>
      <c r="C978" s="4">
        <f t="shared" si="33"/>
        <v>0</v>
      </c>
    </row>
    <row r="979" spans="1:3" x14ac:dyDescent="0.4">
      <c r="A979" s="3">
        <v>0.44400000000000001</v>
      </c>
      <c r="B979" s="3">
        <v>1</v>
      </c>
      <c r="C979" s="4">
        <f t="shared" si="33"/>
        <v>0</v>
      </c>
    </row>
    <row r="980" spans="1:3" x14ac:dyDescent="0.4">
      <c r="A980" s="3">
        <v>0.44500000000000001</v>
      </c>
      <c r="B980" s="3">
        <v>1</v>
      </c>
      <c r="C980" s="4">
        <f t="shared" si="33"/>
        <v>0</v>
      </c>
    </row>
    <row r="981" spans="1:3" x14ac:dyDescent="0.4">
      <c r="A981" s="3">
        <v>0.44600000000000001</v>
      </c>
      <c r="B981" s="3">
        <v>1</v>
      </c>
      <c r="C981" s="4">
        <f t="shared" si="33"/>
        <v>0</v>
      </c>
    </row>
    <row r="982" spans="1:3" x14ac:dyDescent="0.4">
      <c r="A982" s="3">
        <v>0.44700000000000001</v>
      </c>
      <c r="B982" s="3">
        <v>1</v>
      </c>
      <c r="C982" s="4">
        <f t="shared" si="33"/>
        <v>0</v>
      </c>
    </row>
    <row r="983" spans="1:3" x14ac:dyDescent="0.4">
      <c r="A983" s="3">
        <v>0.44800000000000001</v>
      </c>
      <c r="B983" s="3">
        <v>1</v>
      </c>
      <c r="C983" s="4">
        <f t="shared" si="33"/>
        <v>0</v>
      </c>
    </row>
    <row r="984" spans="1:3" x14ac:dyDescent="0.4">
      <c r="A984" s="3">
        <v>0.44900000000000001</v>
      </c>
      <c r="B984" s="3">
        <v>1</v>
      </c>
      <c r="C984" s="4">
        <f t="shared" si="33"/>
        <v>0</v>
      </c>
    </row>
    <row r="985" spans="1:3" x14ac:dyDescent="0.4">
      <c r="A985" s="3">
        <v>0.45</v>
      </c>
      <c r="B985" s="3">
        <v>1</v>
      </c>
      <c r="C985" s="4">
        <f t="shared" si="33"/>
        <v>0</v>
      </c>
    </row>
    <row r="986" spans="1:3" x14ac:dyDescent="0.4">
      <c r="A986" s="3">
        <v>0.45100000000000001</v>
      </c>
      <c r="B986" s="3">
        <v>1</v>
      </c>
      <c r="C986" s="4">
        <f t="shared" si="33"/>
        <v>0</v>
      </c>
    </row>
    <row r="987" spans="1:3" x14ac:dyDescent="0.4">
      <c r="A987" s="3">
        <v>0.45200000000000001</v>
      </c>
      <c r="B987" s="3">
        <v>1</v>
      </c>
      <c r="C987" s="4">
        <f t="shared" si="33"/>
        <v>0</v>
      </c>
    </row>
    <row r="988" spans="1:3" x14ac:dyDescent="0.4">
      <c r="A988" s="3">
        <v>0.45300000000000001</v>
      </c>
      <c r="B988" s="3">
        <v>1</v>
      </c>
      <c r="C988" s="4">
        <f t="shared" si="33"/>
        <v>0</v>
      </c>
    </row>
    <row r="989" spans="1:3" x14ac:dyDescent="0.4">
      <c r="A989" s="3">
        <v>0.45400000000000001</v>
      </c>
      <c r="B989" s="3">
        <v>1</v>
      </c>
      <c r="C989" s="4">
        <f t="shared" si="33"/>
        <v>0</v>
      </c>
    </row>
    <row r="990" spans="1:3" x14ac:dyDescent="0.4">
      <c r="A990" s="3">
        <v>0.45500000000000002</v>
      </c>
      <c r="B990" s="3">
        <v>1</v>
      </c>
      <c r="C990" s="4">
        <f t="shared" si="33"/>
        <v>0</v>
      </c>
    </row>
    <row r="991" spans="1:3" x14ac:dyDescent="0.4">
      <c r="A991" s="3">
        <v>0.45600000000000002</v>
      </c>
      <c r="B991" s="3">
        <v>1</v>
      </c>
      <c r="C991" s="4">
        <f t="shared" si="33"/>
        <v>0</v>
      </c>
    </row>
    <row r="992" spans="1:3" x14ac:dyDescent="0.4">
      <c r="A992" s="3">
        <v>0.45700000000000002</v>
      </c>
      <c r="B992" s="3">
        <v>1</v>
      </c>
      <c r="C992" s="4">
        <f t="shared" si="33"/>
        <v>0</v>
      </c>
    </row>
    <row r="993" spans="1:3" x14ac:dyDescent="0.4">
      <c r="A993" s="3">
        <v>0.45800000000000002</v>
      </c>
      <c r="B993" s="3">
        <v>1</v>
      </c>
      <c r="C993" s="4">
        <f t="shared" si="33"/>
        <v>0</v>
      </c>
    </row>
    <row r="994" spans="1:3" x14ac:dyDescent="0.4">
      <c r="A994" s="3">
        <v>0.45900000000000002</v>
      </c>
      <c r="B994" s="3">
        <v>1</v>
      </c>
      <c r="C994" s="4">
        <f t="shared" si="33"/>
        <v>0</v>
      </c>
    </row>
    <row r="995" spans="1:3" x14ac:dyDescent="0.4">
      <c r="A995" s="3">
        <v>0.46</v>
      </c>
      <c r="B995" s="3">
        <v>1</v>
      </c>
      <c r="C995" s="4">
        <f t="shared" si="33"/>
        <v>0</v>
      </c>
    </row>
    <row r="996" spans="1:3" x14ac:dyDescent="0.4">
      <c r="A996" s="3">
        <v>0.46100000000000002</v>
      </c>
      <c r="B996" s="3">
        <v>1</v>
      </c>
      <c r="C996" s="4">
        <f t="shared" si="33"/>
        <v>0</v>
      </c>
    </row>
    <row r="997" spans="1:3" x14ac:dyDescent="0.4">
      <c r="A997" s="3">
        <v>0.46200000000000002</v>
      </c>
      <c r="B997" s="3">
        <v>1</v>
      </c>
      <c r="C997" s="4">
        <f t="shared" si="33"/>
        <v>0</v>
      </c>
    </row>
    <row r="998" spans="1:3" x14ac:dyDescent="0.4">
      <c r="A998" s="3">
        <v>0.46300000000000002</v>
      </c>
      <c r="B998" s="3">
        <v>1</v>
      </c>
      <c r="C998" s="4">
        <f t="shared" si="33"/>
        <v>0</v>
      </c>
    </row>
    <row r="999" spans="1:3" x14ac:dyDescent="0.4">
      <c r="A999" s="3">
        <v>0.46400000000000002</v>
      </c>
      <c r="B999" s="3">
        <v>1</v>
      </c>
      <c r="C999" s="4">
        <f t="shared" si="33"/>
        <v>0</v>
      </c>
    </row>
    <row r="1000" spans="1:3" x14ac:dyDescent="0.4">
      <c r="A1000" s="3">
        <v>0.46500000000000002</v>
      </c>
      <c r="B1000" s="3">
        <v>1</v>
      </c>
      <c r="C1000" s="4">
        <f t="shared" si="33"/>
        <v>0</v>
      </c>
    </row>
    <row r="1001" spans="1:3" x14ac:dyDescent="0.4">
      <c r="A1001" s="3">
        <v>0.46600000000000003</v>
      </c>
      <c r="B1001" s="3">
        <v>1</v>
      </c>
      <c r="C1001" s="4">
        <f t="shared" si="33"/>
        <v>0</v>
      </c>
    </row>
    <row r="1002" spans="1:3" x14ac:dyDescent="0.4">
      <c r="A1002" s="3">
        <v>0.46700000000000003</v>
      </c>
      <c r="B1002" s="3">
        <v>1</v>
      </c>
      <c r="C1002" s="4">
        <f t="shared" si="33"/>
        <v>0</v>
      </c>
    </row>
    <row r="1003" spans="1:3" x14ac:dyDescent="0.4">
      <c r="A1003" s="3">
        <v>0.46800000000000003</v>
      </c>
      <c r="B1003" s="3">
        <v>1</v>
      </c>
      <c r="C1003" s="4">
        <f t="shared" si="33"/>
        <v>0</v>
      </c>
    </row>
    <row r="1004" spans="1:3" x14ac:dyDescent="0.4">
      <c r="A1004" s="3">
        <v>0.46900000000000003</v>
      </c>
      <c r="B1004" s="3">
        <v>1</v>
      </c>
      <c r="C1004" s="4">
        <f t="shared" si="33"/>
        <v>0</v>
      </c>
    </row>
    <row r="1005" spans="1:3" x14ac:dyDescent="0.4">
      <c r="A1005" s="3">
        <v>0.47000000000000003</v>
      </c>
      <c r="B1005" s="3">
        <v>1</v>
      </c>
      <c r="C1005" s="4">
        <f t="shared" si="33"/>
        <v>0</v>
      </c>
    </row>
    <row r="1006" spans="1:3" x14ac:dyDescent="0.4">
      <c r="A1006" s="3">
        <v>0.47100000000000003</v>
      </c>
      <c r="B1006" s="3">
        <v>1</v>
      </c>
      <c r="C1006" s="4">
        <f t="shared" si="33"/>
        <v>0</v>
      </c>
    </row>
    <row r="1007" spans="1:3" x14ac:dyDescent="0.4">
      <c r="A1007" s="3">
        <v>0.47200000000000003</v>
      </c>
      <c r="B1007" s="3">
        <v>1</v>
      </c>
      <c r="C1007" s="4">
        <f t="shared" si="33"/>
        <v>0</v>
      </c>
    </row>
    <row r="1008" spans="1:3" x14ac:dyDescent="0.4">
      <c r="A1008" s="3">
        <v>0.47300000000000003</v>
      </c>
      <c r="B1008" s="3">
        <v>1</v>
      </c>
      <c r="C1008" s="4">
        <f t="shared" si="33"/>
        <v>0</v>
      </c>
    </row>
    <row r="1009" spans="1:3" x14ac:dyDescent="0.4">
      <c r="A1009" s="3">
        <v>0.47400000000000003</v>
      </c>
      <c r="B1009" s="3">
        <v>1</v>
      </c>
      <c r="C1009" s="4">
        <f t="shared" si="33"/>
        <v>0</v>
      </c>
    </row>
    <row r="1010" spans="1:3" x14ac:dyDescent="0.4">
      <c r="A1010" s="3">
        <v>0.47500000000000003</v>
      </c>
      <c r="B1010" s="3">
        <v>1</v>
      </c>
      <c r="C1010" s="4">
        <f t="shared" si="33"/>
        <v>0</v>
      </c>
    </row>
    <row r="1011" spans="1:3" x14ac:dyDescent="0.4">
      <c r="A1011" s="3">
        <v>0.47600000000000003</v>
      </c>
      <c r="B1011" s="3">
        <v>1</v>
      </c>
      <c r="C1011" s="4">
        <f t="shared" si="33"/>
        <v>0</v>
      </c>
    </row>
    <row r="1012" spans="1:3" x14ac:dyDescent="0.4">
      <c r="A1012" s="3">
        <v>0.47700000000000004</v>
      </c>
      <c r="B1012" s="3">
        <v>1</v>
      </c>
      <c r="C1012" s="4">
        <f t="shared" si="33"/>
        <v>0</v>
      </c>
    </row>
    <row r="1013" spans="1:3" x14ac:dyDescent="0.4">
      <c r="A1013" s="3">
        <v>0.47800000000000004</v>
      </c>
      <c r="B1013" s="3">
        <v>1</v>
      </c>
      <c r="C1013" s="4">
        <f t="shared" si="33"/>
        <v>0</v>
      </c>
    </row>
    <row r="1014" spans="1:3" x14ac:dyDescent="0.4">
      <c r="A1014" s="3">
        <v>0.47900000000000004</v>
      </c>
      <c r="B1014" s="3">
        <v>1</v>
      </c>
      <c r="C1014" s="4">
        <f t="shared" si="33"/>
        <v>0</v>
      </c>
    </row>
    <row r="1015" spans="1:3" x14ac:dyDescent="0.4">
      <c r="A1015" s="3">
        <v>0.48</v>
      </c>
      <c r="B1015" s="3">
        <v>1</v>
      </c>
      <c r="C1015" s="4">
        <f t="shared" si="33"/>
        <v>0</v>
      </c>
    </row>
    <row r="1016" spans="1:3" x14ac:dyDescent="0.4">
      <c r="A1016" s="3">
        <v>0.48099999999999998</v>
      </c>
      <c r="B1016" s="3">
        <v>1</v>
      </c>
      <c r="C1016" s="4">
        <f t="shared" si="33"/>
        <v>0</v>
      </c>
    </row>
    <row r="1017" spans="1:3" x14ac:dyDescent="0.4">
      <c r="A1017" s="3">
        <v>0.48199999999999998</v>
      </c>
      <c r="B1017" s="3">
        <v>1</v>
      </c>
      <c r="C1017" s="4">
        <f t="shared" si="33"/>
        <v>0</v>
      </c>
    </row>
    <row r="1018" spans="1:3" x14ac:dyDescent="0.4">
      <c r="A1018" s="3">
        <v>0.48299999999999998</v>
      </c>
      <c r="B1018" s="3">
        <v>1</v>
      </c>
      <c r="C1018" s="4">
        <f t="shared" si="33"/>
        <v>0</v>
      </c>
    </row>
    <row r="1019" spans="1:3" x14ac:dyDescent="0.4">
      <c r="A1019" s="3">
        <v>0.48399999999999999</v>
      </c>
      <c r="B1019" s="3">
        <v>1</v>
      </c>
      <c r="C1019" s="4">
        <f t="shared" si="33"/>
        <v>0</v>
      </c>
    </row>
    <row r="1020" spans="1:3" x14ac:dyDescent="0.4">
      <c r="A1020" s="3">
        <v>0.48499999999999999</v>
      </c>
      <c r="B1020" s="3">
        <v>1</v>
      </c>
      <c r="C1020" s="4">
        <f t="shared" si="33"/>
        <v>0</v>
      </c>
    </row>
    <row r="1021" spans="1:3" x14ac:dyDescent="0.4">
      <c r="A1021" s="3">
        <v>0.48599999999999999</v>
      </c>
      <c r="B1021" s="3">
        <v>1</v>
      </c>
      <c r="C1021" s="4">
        <f t="shared" si="33"/>
        <v>0</v>
      </c>
    </row>
    <row r="1022" spans="1:3" x14ac:dyDescent="0.4">
      <c r="A1022" s="3">
        <v>0.48699999999999999</v>
      </c>
      <c r="B1022" s="3">
        <v>1</v>
      </c>
      <c r="C1022" s="4">
        <f t="shared" si="33"/>
        <v>0</v>
      </c>
    </row>
    <row r="1023" spans="1:3" x14ac:dyDescent="0.4">
      <c r="A1023" s="3">
        <v>0.48799999999999999</v>
      </c>
      <c r="B1023" s="3">
        <v>1</v>
      </c>
      <c r="C1023" s="4">
        <f t="shared" si="33"/>
        <v>0</v>
      </c>
    </row>
    <row r="1024" spans="1:3" x14ac:dyDescent="0.4">
      <c r="A1024" s="3">
        <v>0.48899999999999999</v>
      </c>
      <c r="B1024" s="3">
        <v>1</v>
      </c>
      <c r="C1024" s="4">
        <f t="shared" si="33"/>
        <v>0</v>
      </c>
    </row>
    <row r="1025" spans="1:3" x14ac:dyDescent="0.4">
      <c r="A1025" s="3">
        <v>0.49</v>
      </c>
      <c r="B1025" s="3">
        <v>1</v>
      </c>
      <c r="C1025" s="4">
        <f t="shared" si="33"/>
        <v>0</v>
      </c>
    </row>
    <row r="1026" spans="1:3" x14ac:dyDescent="0.4">
      <c r="A1026" s="3">
        <v>0.49099999999999999</v>
      </c>
      <c r="B1026" s="3">
        <v>1</v>
      </c>
      <c r="C1026" s="4">
        <f t="shared" si="33"/>
        <v>0</v>
      </c>
    </row>
    <row r="1027" spans="1:3" x14ac:dyDescent="0.4">
      <c r="A1027" s="3">
        <v>0.49199999999999999</v>
      </c>
      <c r="B1027" s="3">
        <v>1</v>
      </c>
      <c r="C1027" s="4">
        <f t="shared" ref="C1027:C1068" si="34">B1027-B1026</f>
        <v>0</v>
      </c>
    </row>
    <row r="1028" spans="1:3" x14ac:dyDescent="0.4">
      <c r="A1028" s="3">
        <v>0.49299999999999999</v>
      </c>
      <c r="B1028" s="3">
        <v>1</v>
      </c>
      <c r="C1028" s="4">
        <f t="shared" si="34"/>
        <v>0</v>
      </c>
    </row>
    <row r="1029" spans="1:3" x14ac:dyDescent="0.4">
      <c r="A1029" s="3">
        <v>0.49399999999999999</v>
      </c>
      <c r="B1029" s="3">
        <v>1</v>
      </c>
      <c r="C1029" s="4">
        <f t="shared" si="34"/>
        <v>0</v>
      </c>
    </row>
    <row r="1030" spans="1:3" x14ac:dyDescent="0.4">
      <c r="A1030" s="3">
        <v>0.495</v>
      </c>
      <c r="B1030" s="3">
        <v>1</v>
      </c>
      <c r="C1030" s="4">
        <f t="shared" si="34"/>
        <v>0</v>
      </c>
    </row>
    <row r="1031" spans="1:3" x14ac:dyDescent="0.4">
      <c r="A1031" s="3">
        <v>0.496</v>
      </c>
      <c r="B1031" s="3">
        <v>1</v>
      </c>
      <c r="C1031" s="4">
        <f t="shared" si="34"/>
        <v>0</v>
      </c>
    </row>
    <row r="1032" spans="1:3" x14ac:dyDescent="0.4">
      <c r="A1032" s="3">
        <v>0.497</v>
      </c>
      <c r="B1032" s="3">
        <v>1</v>
      </c>
      <c r="C1032" s="4">
        <f t="shared" si="34"/>
        <v>0</v>
      </c>
    </row>
    <row r="1033" spans="1:3" x14ac:dyDescent="0.4">
      <c r="A1033" s="3">
        <v>0.498</v>
      </c>
      <c r="B1033" s="3">
        <v>1</v>
      </c>
      <c r="C1033" s="4">
        <f t="shared" si="34"/>
        <v>0</v>
      </c>
    </row>
    <row r="1034" spans="1:3" x14ac:dyDescent="0.4">
      <c r="A1034" s="3">
        <v>0.499</v>
      </c>
      <c r="B1034" s="3">
        <v>1</v>
      </c>
      <c r="C1034" s="4">
        <f t="shared" si="34"/>
        <v>0</v>
      </c>
    </row>
    <row r="1035" spans="1:3" x14ac:dyDescent="0.4">
      <c r="A1035" s="3">
        <v>0.5</v>
      </c>
      <c r="B1035" s="3">
        <v>1</v>
      </c>
      <c r="C1035" s="4">
        <f t="shared" si="34"/>
        <v>0</v>
      </c>
    </row>
    <row r="1036" spans="1:3" x14ac:dyDescent="0.4">
      <c r="A1036" s="3">
        <v>0.501</v>
      </c>
      <c r="B1036" s="3">
        <v>1</v>
      </c>
      <c r="C1036" s="4">
        <f t="shared" si="34"/>
        <v>0</v>
      </c>
    </row>
    <row r="1037" spans="1:3" x14ac:dyDescent="0.4">
      <c r="A1037" s="3">
        <v>0.502</v>
      </c>
      <c r="B1037" s="3">
        <v>1</v>
      </c>
      <c r="C1037" s="4">
        <f t="shared" si="34"/>
        <v>0</v>
      </c>
    </row>
    <row r="1038" spans="1:3" x14ac:dyDescent="0.4">
      <c r="A1038" s="3">
        <v>0.503</v>
      </c>
      <c r="B1038" s="3">
        <v>1</v>
      </c>
      <c r="C1038" s="4">
        <f t="shared" si="34"/>
        <v>0</v>
      </c>
    </row>
    <row r="1039" spans="1:3" x14ac:dyDescent="0.4">
      <c r="A1039" s="3">
        <v>0.504</v>
      </c>
      <c r="B1039" s="3">
        <v>1</v>
      </c>
      <c r="C1039" s="4">
        <f t="shared" si="34"/>
        <v>0</v>
      </c>
    </row>
    <row r="1040" spans="1:3" x14ac:dyDescent="0.4">
      <c r="A1040" s="3">
        <v>0.505</v>
      </c>
      <c r="B1040" s="3">
        <v>1</v>
      </c>
      <c r="C1040" s="4">
        <f t="shared" si="34"/>
        <v>0</v>
      </c>
    </row>
    <row r="1041" spans="1:3" x14ac:dyDescent="0.4">
      <c r="A1041" s="3">
        <v>0.50600000000000001</v>
      </c>
      <c r="B1041" s="3">
        <v>1</v>
      </c>
      <c r="C1041" s="4">
        <f t="shared" si="34"/>
        <v>0</v>
      </c>
    </row>
    <row r="1042" spans="1:3" x14ac:dyDescent="0.4">
      <c r="A1042" s="3">
        <v>0.50700000000000001</v>
      </c>
      <c r="B1042" s="3">
        <v>1</v>
      </c>
      <c r="C1042" s="4">
        <f t="shared" si="34"/>
        <v>0</v>
      </c>
    </row>
    <row r="1043" spans="1:3" x14ac:dyDescent="0.4">
      <c r="A1043" s="3">
        <v>0.50800000000000001</v>
      </c>
      <c r="B1043" s="3">
        <v>1</v>
      </c>
      <c r="C1043" s="4">
        <f t="shared" si="34"/>
        <v>0</v>
      </c>
    </row>
    <row r="1044" spans="1:3" x14ac:dyDescent="0.4">
      <c r="A1044" s="3">
        <v>0.50900000000000001</v>
      </c>
      <c r="B1044" s="3">
        <v>1</v>
      </c>
      <c r="C1044" s="4">
        <f t="shared" si="34"/>
        <v>0</v>
      </c>
    </row>
    <row r="1045" spans="1:3" x14ac:dyDescent="0.4">
      <c r="A1045" s="3">
        <v>0.51</v>
      </c>
      <c r="B1045" s="3">
        <v>1</v>
      </c>
      <c r="C1045" s="4">
        <f t="shared" si="34"/>
        <v>0</v>
      </c>
    </row>
    <row r="1046" spans="1:3" x14ac:dyDescent="0.4">
      <c r="A1046" s="3">
        <v>0.51100000000000001</v>
      </c>
      <c r="B1046" s="3">
        <v>1</v>
      </c>
      <c r="C1046" s="4">
        <f t="shared" si="34"/>
        <v>0</v>
      </c>
    </row>
    <row r="1047" spans="1:3" x14ac:dyDescent="0.4">
      <c r="A1047" s="3">
        <v>0.51200000000000001</v>
      </c>
      <c r="B1047" s="3">
        <v>1</v>
      </c>
      <c r="C1047" s="4">
        <f t="shared" si="34"/>
        <v>0</v>
      </c>
    </row>
    <row r="1048" spans="1:3" x14ac:dyDescent="0.4">
      <c r="A1048" s="3">
        <v>0.51300000000000001</v>
      </c>
      <c r="B1048" s="3">
        <v>1</v>
      </c>
      <c r="C1048" s="4">
        <f t="shared" si="34"/>
        <v>0</v>
      </c>
    </row>
    <row r="1049" spans="1:3" x14ac:dyDescent="0.4">
      <c r="A1049" s="3">
        <v>0.51400000000000001</v>
      </c>
      <c r="B1049" s="3">
        <v>1</v>
      </c>
      <c r="C1049" s="4">
        <f t="shared" si="34"/>
        <v>0</v>
      </c>
    </row>
    <row r="1050" spans="1:3" x14ac:dyDescent="0.4">
      <c r="A1050" s="3">
        <v>0.51500000000000001</v>
      </c>
      <c r="B1050" s="3">
        <v>1</v>
      </c>
      <c r="C1050" s="4">
        <f t="shared" si="34"/>
        <v>0</v>
      </c>
    </row>
    <row r="1051" spans="1:3" x14ac:dyDescent="0.4">
      <c r="A1051" s="3">
        <v>0.51600000000000001</v>
      </c>
      <c r="B1051" s="3">
        <v>1</v>
      </c>
      <c r="C1051" s="4">
        <f t="shared" si="34"/>
        <v>0</v>
      </c>
    </row>
    <row r="1052" spans="1:3" x14ac:dyDescent="0.4">
      <c r="A1052" s="3">
        <v>0.51700000000000002</v>
      </c>
      <c r="B1052" s="3">
        <v>1</v>
      </c>
      <c r="C1052" s="4">
        <f t="shared" si="34"/>
        <v>0</v>
      </c>
    </row>
    <row r="1053" spans="1:3" x14ac:dyDescent="0.4">
      <c r="A1053" s="3">
        <v>0.51800000000000002</v>
      </c>
      <c r="B1053" s="3">
        <v>1</v>
      </c>
      <c r="C1053" s="4">
        <f t="shared" si="34"/>
        <v>0</v>
      </c>
    </row>
    <row r="1054" spans="1:3" x14ac:dyDescent="0.4">
      <c r="A1054" s="3">
        <v>0.51900000000000002</v>
      </c>
      <c r="B1054" s="3">
        <v>1</v>
      </c>
      <c r="C1054" s="4">
        <f t="shared" si="34"/>
        <v>0</v>
      </c>
    </row>
    <row r="1055" spans="1:3" x14ac:dyDescent="0.4">
      <c r="A1055" s="3">
        <v>0.52</v>
      </c>
      <c r="B1055" s="3">
        <v>1</v>
      </c>
      <c r="C1055" s="4">
        <f t="shared" si="34"/>
        <v>0</v>
      </c>
    </row>
    <row r="1056" spans="1:3" x14ac:dyDescent="0.4">
      <c r="A1056" s="3">
        <v>0.52100000000000002</v>
      </c>
      <c r="B1056" s="3">
        <v>1</v>
      </c>
      <c r="C1056" s="4">
        <f t="shared" si="34"/>
        <v>0</v>
      </c>
    </row>
    <row r="1057" spans="1:3" x14ac:dyDescent="0.4">
      <c r="A1057" s="3">
        <v>0.52200000000000002</v>
      </c>
      <c r="B1057" s="3">
        <v>1</v>
      </c>
      <c r="C1057" s="4">
        <f t="shared" si="34"/>
        <v>0</v>
      </c>
    </row>
    <row r="1058" spans="1:3" x14ac:dyDescent="0.4">
      <c r="A1058" s="3">
        <v>0.52300000000000002</v>
      </c>
      <c r="B1058" s="3">
        <v>1</v>
      </c>
      <c r="C1058" s="4">
        <f t="shared" si="34"/>
        <v>0</v>
      </c>
    </row>
    <row r="1059" spans="1:3" x14ac:dyDescent="0.4">
      <c r="A1059" s="3">
        <v>0.52400000000000002</v>
      </c>
      <c r="B1059" s="3">
        <v>1</v>
      </c>
      <c r="C1059" s="4">
        <f t="shared" si="34"/>
        <v>0</v>
      </c>
    </row>
    <row r="1060" spans="1:3" x14ac:dyDescent="0.4">
      <c r="A1060" s="3">
        <v>0.52500000000000002</v>
      </c>
      <c r="B1060" s="3">
        <v>1</v>
      </c>
      <c r="C1060" s="4">
        <f t="shared" si="34"/>
        <v>0</v>
      </c>
    </row>
    <row r="1061" spans="1:3" x14ac:dyDescent="0.4">
      <c r="A1061" s="3">
        <v>0.52600000000000002</v>
      </c>
      <c r="B1061" s="3">
        <v>1</v>
      </c>
      <c r="C1061" s="4">
        <f t="shared" si="34"/>
        <v>0</v>
      </c>
    </row>
    <row r="1062" spans="1:3" x14ac:dyDescent="0.4">
      <c r="A1062" s="3">
        <v>0.52700000000000002</v>
      </c>
      <c r="B1062" s="3">
        <v>1</v>
      </c>
      <c r="C1062" s="4">
        <f t="shared" si="34"/>
        <v>0</v>
      </c>
    </row>
    <row r="1063" spans="1:3" x14ac:dyDescent="0.4">
      <c r="A1063" s="3">
        <v>0.52800000000000002</v>
      </c>
      <c r="B1063" s="3">
        <v>1</v>
      </c>
      <c r="C1063" s="4">
        <f t="shared" si="34"/>
        <v>0</v>
      </c>
    </row>
    <row r="1064" spans="1:3" x14ac:dyDescent="0.4">
      <c r="A1064" s="3">
        <v>0.52900000000000003</v>
      </c>
      <c r="B1064" s="3">
        <v>1</v>
      </c>
      <c r="C1064" s="4">
        <f t="shared" si="34"/>
        <v>0</v>
      </c>
    </row>
    <row r="1065" spans="1:3" x14ac:dyDescent="0.4">
      <c r="A1065" s="3">
        <v>0.53</v>
      </c>
      <c r="B1065" s="3">
        <v>1</v>
      </c>
      <c r="C1065" s="4">
        <f t="shared" si="34"/>
        <v>0</v>
      </c>
    </row>
    <row r="1066" spans="1:3" x14ac:dyDescent="0.4">
      <c r="A1066" s="3">
        <v>0.53100000000000003</v>
      </c>
      <c r="B1066" s="3">
        <v>1</v>
      </c>
      <c r="C1066" s="4">
        <f t="shared" si="34"/>
        <v>0</v>
      </c>
    </row>
    <row r="1067" spans="1:3" x14ac:dyDescent="0.4">
      <c r="A1067" s="3">
        <v>0.53200000000000003</v>
      </c>
      <c r="B1067" s="3">
        <v>1</v>
      </c>
      <c r="C1067" s="4">
        <f t="shared" si="34"/>
        <v>0</v>
      </c>
    </row>
    <row r="1068" spans="1:3" x14ac:dyDescent="0.4">
      <c r="A1068" s="3">
        <v>0.53300000000000003</v>
      </c>
      <c r="B1068" s="3">
        <v>1</v>
      </c>
      <c r="C1068" s="4">
        <f t="shared" si="34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4D2F-4C94-4165-97B2-0A9348BBCDF0}">
  <dimension ref="A1:AK51"/>
  <sheetViews>
    <sheetView tabSelected="1" topLeftCell="H1" zoomScaleNormal="100" workbookViewId="0">
      <selection activeCell="AK10" sqref="AK10"/>
    </sheetView>
  </sheetViews>
  <sheetFormatPr defaultRowHeight="13.9" x14ac:dyDescent="0.4"/>
  <cols>
    <col min="1" max="1" width="4.53125" bestFit="1" customWidth="1"/>
    <col min="2" max="4" width="5.796875" bestFit="1" customWidth="1"/>
    <col min="5" max="5" width="3.6640625" bestFit="1" customWidth="1"/>
    <col min="6" max="6" width="5.796875" bestFit="1" customWidth="1"/>
    <col min="7" max="7" width="8.265625" bestFit="1" customWidth="1"/>
    <col min="8" max="8" width="5.796875" bestFit="1" customWidth="1"/>
    <col min="9" max="9" width="3.6640625" bestFit="1" customWidth="1"/>
    <col min="10" max="12" width="5.796875" bestFit="1" customWidth="1"/>
    <col min="13" max="13" width="5.33203125" bestFit="1" customWidth="1"/>
    <col min="14" max="14" width="7.6640625" bestFit="1" customWidth="1"/>
    <col min="15" max="15" width="11.53125" bestFit="1" customWidth="1"/>
    <col min="16" max="16" width="5.796875" bestFit="1" customWidth="1"/>
    <col min="17" max="17" width="3" bestFit="1" customWidth="1"/>
    <col min="18" max="18" width="6.73046875" bestFit="1" customWidth="1"/>
    <col min="19" max="19" width="4.53125" bestFit="1" customWidth="1"/>
    <col min="20" max="22" width="5.796875" bestFit="1" customWidth="1"/>
    <col min="23" max="23" width="3.6640625" bestFit="1" customWidth="1"/>
    <col min="24" max="26" width="5.796875" bestFit="1" customWidth="1"/>
    <col min="27" max="27" width="3.6640625" bestFit="1" customWidth="1"/>
    <col min="28" max="30" width="5.796875" bestFit="1" customWidth="1"/>
    <col min="31" max="31" width="11.53125" bestFit="1" customWidth="1"/>
    <col min="32" max="32" width="7.6640625" bestFit="1" customWidth="1"/>
    <col min="33" max="33" width="6.73046875" bestFit="1" customWidth="1"/>
    <col min="34" max="34" width="5.796875" bestFit="1" customWidth="1"/>
    <col min="35" max="35" width="3" bestFit="1" customWidth="1"/>
    <col min="36" max="36" width="6.73046875" bestFit="1" customWidth="1"/>
  </cols>
  <sheetData>
    <row r="1" spans="1:37" ht="15" x14ac:dyDescent="0.4">
      <c r="A1" s="6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8" t="s">
        <v>5</v>
      </c>
      <c r="N1" s="1" t="s">
        <v>4</v>
      </c>
      <c r="O1" s="1" t="s">
        <v>6</v>
      </c>
      <c r="P1" s="1" t="s">
        <v>0</v>
      </c>
      <c r="Q1" s="1" t="s">
        <v>1</v>
      </c>
      <c r="R1" s="1" t="s">
        <v>2</v>
      </c>
      <c r="S1" s="6" t="s">
        <v>7</v>
      </c>
      <c r="T1" s="7" t="s">
        <v>8</v>
      </c>
      <c r="U1" s="7" t="s">
        <v>9</v>
      </c>
      <c r="V1" s="7" t="s">
        <v>10</v>
      </c>
      <c r="W1" s="7" t="s">
        <v>11</v>
      </c>
      <c r="X1" s="7" t="s">
        <v>12</v>
      </c>
      <c r="Y1" s="7" t="s">
        <v>13</v>
      </c>
      <c r="Z1" s="7" t="s">
        <v>14</v>
      </c>
      <c r="AA1" s="7" t="s">
        <v>15</v>
      </c>
      <c r="AB1" s="7" t="s">
        <v>16</v>
      </c>
      <c r="AC1" s="7" t="s">
        <v>17</v>
      </c>
      <c r="AD1" s="7" t="s">
        <v>18</v>
      </c>
      <c r="AE1" s="8" t="s">
        <v>5</v>
      </c>
      <c r="AF1" s="1" t="s">
        <v>4</v>
      </c>
      <c r="AG1" s="1" t="s">
        <v>6</v>
      </c>
      <c r="AH1" s="1" t="s">
        <v>0</v>
      </c>
      <c r="AI1" s="1" t="s">
        <v>1</v>
      </c>
      <c r="AJ1" s="1" t="s">
        <v>2</v>
      </c>
    </row>
    <row r="2" spans="1:37" x14ac:dyDescent="0.4">
      <c r="A2" s="20">
        <v>90</v>
      </c>
      <c r="B2" s="16">
        <v>0.41</v>
      </c>
      <c r="C2" s="16">
        <v>0.40826671395461001</v>
      </c>
      <c r="D2" s="16">
        <v>0</v>
      </c>
      <c r="E2" s="16">
        <v>80</v>
      </c>
      <c r="F2" s="16">
        <v>0.38</v>
      </c>
      <c r="G2" s="16">
        <v>0.66298937703117888</v>
      </c>
      <c r="H2" s="16">
        <v>6.25E-2</v>
      </c>
      <c r="I2" s="16">
        <v>60</v>
      </c>
      <c r="J2" s="16">
        <v>0.35</v>
      </c>
      <c r="K2" s="16">
        <v>0.80602656690394836</v>
      </c>
      <c r="L2" s="16">
        <v>1</v>
      </c>
      <c r="M2" s="15">
        <v>65</v>
      </c>
      <c r="N2" s="16">
        <v>22.9</v>
      </c>
      <c r="O2" s="16">
        <v>51.676540899392798</v>
      </c>
      <c r="P2" s="16">
        <f>O2/M2</f>
        <v>0.79502370614450457</v>
      </c>
      <c r="Q2" s="16">
        <v>0</v>
      </c>
      <c r="R2" s="16">
        <f>N26/M26</f>
        <v>0.36714052287581705</v>
      </c>
      <c r="S2" s="20">
        <v>90</v>
      </c>
      <c r="T2" s="16">
        <v>0.41</v>
      </c>
      <c r="U2" s="16">
        <v>0.40826671395461001</v>
      </c>
      <c r="V2" s="16">
        <v>0</v>
      </c>
      <c r="W2" s="16">
        <v>80</v>
      </c>
      <c r="X2" s="16">
        <v>0.38</v>
      </c>
      <c r="Y2" s="16">
        <v>0.66298937703117888</v>
      </c>
      <c r="Z2" s="16">
        <v>6.25E-2</v>
      </c>
      <c r="AA2" s="16">
        <v>60</v>
      </c>
      <c r="AB2" s="16">
        <v>0.35</v>
      </c>
      <c r="AC2" s="16">
        <v>0.80602656690394836</v>
      </c>
      <c r="AD2" s="16">
        <v>1</v>
      </c>
      <c r="AE2" s="15">
        <v>3900.3180094824579</v>
      </c>
      <c r="AF2" s="16">
        <v>22.9</v>
      </c>
      <c r="AG2" s="16">
        <v>51.676540899392791</v>
      </c>
      <c r="AH2" s="16">
        <f>AG2/AE2</f>
        <v>1.3249314741453574E-2</v>
      </c>
      <c r="AI2" s="16">
        <v>0</v>
      </c>
      <c r="AJ2" s="16">
        <f>AF26/AE26</f>
        <v>1.7686155305911118E-2</v>
      </c>
    </row>
    <row r="3" spans="1:37" ht="15" x14ac:dyDescent="0.4">
      <c r="A3" s="20">
        <v>95</v>
      </c>
      <c r="B3" s="16">
        <v>0.35</v>
      </c>
      <c r="C3" s="16">
        <v>0.53788850145950862</v>
      </c>
      <c r="D3" s="16">
        <v>0.66315789473684195</v>
      </c>
      <c r="E3" s="16">
        <v>90</v>
      </c>
      <c r="F3" s="16">
        <v>0.38</v>
      </c>
      <c r="G3" s="16">
        <v>0.71756930099178606</v>
      </c>
      <c r="H3" s="16">
        <v>0</v>
      </c>
      <c r="I3" s="16">
        <v>74</v>
      </c>
      <c r="J3" s="16">
        <v>0.35</v>
      </c>
      <c r="K3" s="16">
        <v>0.80762732976143981</v>
      </c>
      <c r="L3" s="16">
        <v>0</v>
      </c>
      <c r="M3" s="15">
        <v>63</v>
      </c>
      <c r="N3" s="16">
        <v>22.05</v>
      </c>
      <c r="O3" s="16">
        <v>33.886975591949003</v>
      </c>
      <c r="P3" s="16">
        <f t="shared" ref="P3:P25" si="0">O3/M3</f>
        <v>0.53788850145950795</v>
      </c>
      <c r="Q3" s="16">
        <v>1</v>
      </c>
      <c r="R3" s="1" t="s">
        <v>3</v>
      </c>
      <c r="S3" s="20">
        <v>95</v>
      </c>
      <c r="T3" s="16">
        <v>0.35</v>
      </c>
      <c r="U3" s="16">
        <v>0.53788850145950862</v>
      </c>
      <c r="V3" s="16">
        <v>0.66315789473684206</v>
      </c>
      <c r="W3" s="16">
        <v>90</v>
      </c>
      <c r="X3" s="16">
        <v>0.38</v>
      </c>
      <c r="Y3" s="16">
        <v>0.71756930099178606</v>
      </c>
      <c r="Z3" s="16">
        <v>0</v>
      </c>
      <c r="AA3" s="16">
        <v>74</v>
      </c>
      <c r="AB3" s="16">
        <v>0.35</v>
      </c>
      <c r="AC3" s="16">
        <v>0.80762732976143981</v>
      </c>
      <c r="AD3" s="16">
        <v>0</v>
      </c>
      <c r="AE3" s="15">
        <v>63</v>
      </c>
      <c r="AF3" s="16">
        <v>22.049999999999997</v>
      </c>
      <c r="AG3" s="16">
        <v>33.886975591949039</v>
      </c>
      <c r="AH3" s="16">
        <f t="shared" ref="AH3:AH25" si="1">AG3/AE3</f>
        <v>0.53788850145950851</v>
      </c>
      <c r="AI3" s="16">
        <v>1</v>
      </c>
      <c r="AJ3" s="1" t="s">
        <v>3</v>
      </c>
    </row>
    <row r="4" spans="1:37" x14ac:dyDescent="0.4">
      <c r="A4" s="20">
        <v>95</v>
      </c>
      <c r="B4" s="16">
        <v>0.36</v>
      </c>
      <c r="C4" s="16">
        <v>0.12861531389963515</v>
      </c>
      <c r="D4" s="16">
        <v>0.70526315789473704</v>
      </c>
      <c r="E4" s="16">
        <v>85</v>
      </c>
      <c r="F4" s="16">
        <v>0.44</v>
      </c>
      <c r="G4" s="16">
        <v>0.6867885133383238</v>
      </c>
      <c r="H4" s="16">
        <v>0</v>
      </c>
      <c r="I4" s="16">
        <v>60</v>
      </c>
      <c r="J4" s="16">
        <v>0.37</v>
      </c>
      <c r="K4" s="16">
        <v>0.61033471780112858</v>
      </c>
      <c r="L4" s="16">
        <v>0</v>
      </c>
      <c r="M4" s="15">
        <v>67</v>
      </c>
      <c r="N4" s="16">
        <v>24.12</v>
      </c>
      <c r="O4" s="16">
        <v>8.6172260312755604</v>
      </c>
      <c r="P4" s="16">
        <f t="shared" si="0"/>
        <v>0.12861531389963524</v>
      </c>
      <c r="Q4" s="16">
        <v>2</v>
      </c>
      <c r="R4" s="16">
        <f>O26/M26</f>
        <v>0.56100647371019896</v>
      </c>
      <c r="S4" s="20">
        <v>95</v>
      </c>
      <c r="T4" s="16">
        <v>0.36</v>
      </c>
      <c r="U4" s="16">
        <v>0.12861531389963515</v>
      </c>
      <c r="V4" s="16">
        <v>0.56707889287048885</v>
      </c>
      <c r="W4" s="16">
        <v>85</v>
      </c>
      <c r="X4" s="16">
        <v>0.44</v>
      </c>
      <c r="Y4" s="16">
        <v>0.6867885133383238</v>
      </c>
      <c r="Z4" s="16">
        <v>0</v>
      </c>
      <c r="AA4" s="16">
        <v>60</v>
      </c>
      <c r="AB4" s="16">
        <v>0.37</v>
      </c>
      <c r="AC4" s="16">
        <v>0.61033471780112858</v>
      </c>
      <c r="AD4" s="16">
        <v>0.21879175295505937</v>
      </c>
      <c r="AE4" s="15">
        <v>67</v>
      </c>
      <c r="AF4" s="16">
        <v>24.251275051773032</v>
      </c>
      <c r="AG4" s="16">
        <v>14.940999999999995</v>
      </c>
      <c r="AH4" s="16">
        <f t="shared" si="1"/>
        <v>0.22299999999999992</v>
      </c>
      <c r="AI4" s="16">
        <v>2</v>
      </c>
      <c r="AJ4" s="16">
        <f>AG26/AE26</f>
        <v>2.7145681022378267E-2</v>
      </c>
    </row>
    <row r="5" spans="1:37" x14ac:dyDescent="0.4">
      <c r="A5" s="20">
        <v>90</v>
      </c>
      <c r="B5" s="16">
        <v>0.37</v>
      </c>
      <c r="C5" s="16">
        <v>0.44071733203681207</v>
      </c>
      <c r="D5" s="16">
        <v>4.4444444444444398E-2</v>
      </c>
      <c r="E5" s="16">
        <v>75</v>
      </c>
      <c r="F5" s="16">
        <v>0.36</v>
      </c>
      <c r="G5" s="16">
        <v>0.58375590752139839</v>
      </c>
      <c r="H5" s="16">
        <v>1</v>
      </c>
      <c r="I5" s="16">
        <v>60</v>
      </c>
      <c r="J5" s="16">
        <v>0.37</v>
      </c>
      <c r="K5" s="16">
        <v>0.70443590911304244</v>
      </c>
      <c r="L5" s="16">
        <v>0</v>
      </c>
      <c r="M5" s="15">
        <v>79</v>
      </c>
      <c r="N5" s="16">
        <v>28.48</v>
      </c>
      <c r="O5" s="16">
        <v>45.544562392252097</v>
      </c>
      <c r="P5" s="16">
        <f t="shared" si="0"/>
        <v>0.57651344800319104</v>
      </c>
      <c r="Q5" s="16">
        <v>3</v>
      </c>
      <c r="R5" s="16" t="s">
        <v>7</v>
      </c>
      <c r="S5" s="20">
        <v>90</v>
      </c>
      <c r="T5" s="16">
        <v>0.37</v>
      </c>
      <c r="U5" s="16">
        <v>0.44071733203681207</v>
      </c>
      <c r="V5" s="16">
        <v>4.4444444444444398E-2</v>
      </c>
      <c r="W5" s="16">
        <v>75</v>
      </c>
      <c r="X5" s="16">
        <v>0.36</v>
      </c>
      <c r="Y5" s="16">
        <v>0.58375590752139839</v>
      </c>
      <c r="Z5" s="16">
        <v>1</v>
      </c>
      <c r="AA5" s="16">
        <v>60</v>
      </c>
      <c r="AB5" s="16">
        <v>0.37</v>
      </c>
      <c r="AC5" s="16">
        <v>0.70443590911304244</v>
      </c>
      <c r="AD5" s="16">
        <v>0</v>
      </c>
      <c r="AE5" s="15">
        <v>79</v>
      </c>
      <c r="AF5" s="16">
        <v>28.479999999999997</v>
      </c>
      <c r="AG5" s="16">
        <v>45.544562392252125</v>
      </c>
      <c r="AH5" s="16">
        <f t="shared" si="1"/>
        <v>0.57651344800319149</v>
      </c>
      <c r="AI5" s="16">
        <v>3</v>
      </c>
      <c r="AJ5" s="16" t="s">
        <v>7</v>
      </c>
    </row>
    <row r="6" spans="1:37" x14ac:dyDescent="0.4">
      <c r="A6" s="20">
        <v>60</v>
      </c>
      <c r="B6" s="16">
        <v>0.35</v>
      </c>
      <c r="C6" s="16">
        <v>0.38637652398589806</v>
      </c>
      <c r="D6" s="16">
        <v>1</v>
      </c>
      <c r="E6" s="16">
        <v>80</v>
      </c>
      <c r="F6" s="16">
        <v>0.39</v>
      </c>
      <c r="G6" s="16">
        <v>0.64348714670966578</v>
      </c>
      <c r="H6" s="16">
        <v>0</v>
      </c>
      <c r="I6" s="16">
        <v>60</v>
      </c>
      <c r="J6" s="16">
        <v>0.38</v>
      </c>
      <c r="K6" s="16">
        <v>0.57528829563845907</v>
      </c>
      <c r="L6" s="16">
        <v>0.4</v>
      </c>
      <c r="M6" s="15">
        <v>84</v>
      </c>
      <c r="N6" s="16">
        <v>30.12</v>
      </c>
      <c r="O6" s="16">
        <v>36.989510534476899</v>
      </c>
      <c r="P6" s="16">
        <f>O6/M6</f>
        <v>0.44035131588662974</v>
      </c>
      <c r="Q6" s="16">
        <v>4</v>
      </c>
      <c r="R6" s="16">
        <f>SUM(D28:D51)</f>
        <v>907</v>
      </c>
      <c r="S6" s="20">
        <v>60</v>
      </c>
      <c r="T6" s="16">
        <v>0.35</v>
      </c>
      <c r="U6" s="16">
        <v>0.38637652398589806</v>
      </c>
      <c r="V6" s="16">
        <v>1</v>
      </c>
      <c r="W6" s="16">
        <v>80</v>
      </c>
      <c r="X6" s="16">
        <v>0.39</v>
      </c>
      <c r="Y6" s="16">
        <v>0.64348714670966578</v>
      </c>
      <c r="Z6" s="16">
        <v>0</v>
      </c>
      <c r="AA6" s="16">
        <v>60</v>
      </c>
      <c r="AB6" s="16">
        <v>0.38</v>
      </c>
      <c r="AC6" s="16">
        <v>0.57528829563845907</v>
      </c>
      <c r="AD6" s="16">
        <v>0.39999999999999991</v>
      </c>
      <c r="AE6" s="15">
        <v>84</v>
      </c>
      <c r="AF6" s="16">
        <v>30.119999999999997</v>
      </c>
      <c r="AG6" s="16">
        <v>36.989510534476899</v>
      </c>
      <c r="AH6" s="16">
        <f>AG6/AE6</f>
        <v>0.44035131588662974</v>
      </c>
      <c r="AI6" s="16">
        <v>4</v>
      </c>
      <c r="AJ6" s="16">
        <f>SUM(V28:V51)</f>
        <v>893.87249482269647</v>
      </c>
      <c r="AK6">
        <f>(AJ6-R6)/R6</f>
        <v>-1.4473544848184711E-2</v>
      </c>
    </row>
    <row r="7" spans="1:37" x14ac:dyDescent="0.4">
      <c r="A7" s="20">
        <v>90</v>
      </c>
      <c r="B7" s="16">
        <v>0.36</v>
      </c>
      <c r="C7" s="16">
        <v>0.22373117036947263</v>
      </c>
      <c r="D7" s="16">
        <v>0.68888888888888899</v>
      </c>
      <c r="E7" s="16">
        <v>75</v>
      </c>
      <c r="F7" s="16">
        <v>0.38</v>
      </c>
      <c r="G7" s="16">
        <v>0.53537171962413621</v>
      </c>
      <c r="H7" s="16">
        <v>0</v>
      </c>
      <c r="I7" s="16">
        <v>37</v>
      </c>
      <c r="J7" s="16">
        <v>0.43</v>
      </c>
      <c r="K7" s="16">
        <v>0.5853499258513235</v>
      </c>
      <c r="L7" s="16">
        <v>0</v>
      </c>
      <c r="M7" s="15">
        <v>62</v>
      </c>
      <c r="N7" s="16">
        <v>22.32</v>
      </c>
      <c r="O7" s="16">
        <v>13.8713325629073</v>
      </c>
      <c r="P7" s="16">
        <f t="shared" si="0"/>
        <v>0.22373117036947257</v>
      </c>
      <c r="Q7" s="16">
        <v>5</v>
      </c>
      <c r="R7" s="16" t="s">
        <v>11</v>
      </c>
      <c r="S7" s="20">
        <v>90</v>
      </c>
      <c r="T7" s="16">
        <v>0.36</v>
      </c>
      <c r="U7" s="16">
        <v>0.22373117036947263</v>
      </c>
      <c r="V7" s="16">
        <v>0.68888888888888888</v>
      </c>
      <c r="W7" s="16">
        <v>75</v>
      </c>
      <c r="X7" s="16">
        <v>0.38</v>
      </c>
      <c r="Y7" s="16">
        <v>0.53537171962413621</v>
      </c>
      <c r="Z7" s="16">
        <v>0</v>
      </c>
      <c r="AA7" s="16">
        <v>37</v>
      </c>
      <c r="AB7" s="16">
        <v>0.43</v>
      </c>
      <c r="AC7" s="16">
        <v>0.5853499258513235</v>
      </c>
      <c r="AD7" s="16">
        <v>0</v>
      </c>
      <c r="AE7" s="15">
        <v>62</v>
      </c>
      <c r="AF7" s="16">
        <v>22.32</v>
      </c>
      <c r="AG7" s="16">
        <v>13.871332562907304</v>
      </c>
      <c r="AH7" s="16">
        <f t="shared" si="1"/>
        <v>0.22373117036947263</v>
      </c>
      <c r="AI7" s="16">
        <v>5</v>
      </c>
      <c r="AJ7" s="16" t="s">
        <v>11</v>
      </c>
      <c r="AK7" t="e">
        <f t="shared" ref="AK7:AK10" si="2">(AJ7-R7)/R7</f>
        <v>#VALUE!</v>
      </c>
    </row>
    <row r="8" spans="1:37" x14ac:dyDescent="0.4">
      <c r="A8" s="20">
        <v>105</v>
      </c>
      <c r="B8" s="16">
        <v>0.4</v>
      </c>
      <c r="C8" s="16">
        <v>0.3111407977694316</v>
      </c>
      <c r="D8" s="16">
        <v>0.76190476190476197</v>
      </c>
      <c r="E8" s="16">
        <v>70</v>
      </c>
      <c r="F8" s="16">
        <v>0.35</v>
      </c>
      <c r="G8" s="16">
        <v>0.70293956317576423</v>
      </c>
      <c r="H8" s="16">
        <v>1</v>
      </c>
      <c r="I8" s="16">
        <v>35</v>
      </c>
      <c r="J8" s="16">
        <v>0.41</v>
      </c>
      <c r="K8" s="16">
        <v>0.69601506718966522</v>
      </c>
      <c r="L8" s="16">
        <v>0</v>
      </c>
      <c r="M8" s="15">
        <v>150</v>
      </c>
      <c r="N8" s="16">
        <v>56.5</v>
      </c>
      <c r="O8" s="16">
        <v>74.097033243857993</v>
      </c>
      <c r="P8" s="16">
        <f t="shared" si="0"/>
        <v>0.49398022162571997</v>
      </c>
      <c r="Q8" s="16">
        <v>6</v>
      </c>
      <c r="R8" s="16">
        <f>SUM(H28:H51)</f>
        <v>840</v>
      </c>
      <c r="S8" s="20">
        <v>105</v>
      </c>
      <c r="T8" s="16">
        <v>0.4</v>
      </c>
      <c r="U8" s="16">
        <v>0.3111407977694316</v>
      </c>
      <c r="V8" s="16">
        <v>0.76190476190476186</v>
      </c>
      <c r="W8" s="16">
        <v>70</v>
      </c>
      <c r="X8" s="16">
        <v>0.35</v>
      </c>
      <c r="Y8" s="16">
        <v>0.70293956317576423</v>
      </c>
      <c r="Z8" s="16">
        <v>1</v>
      </c>
      <c r="AA8" s="16">
        <v>35</v>
      </c>
      <c r="AB8" s="16">
        <v>0.41</v>
      </c>
      <c r="AC8" s="16">
        <v>0.69601506718966522</v>
      </c>
      <c r="AD8" s="16">
        <v>0</v>
      </c>
      <c r="AE8" s="15">
        <v>4903.4214381515831</v>
      </c>
      <c r="AF8" s="16">
        <v>56.5</v>
      </c>
      <c r="AG8" s="16">
        <v>74.097033243858021</v>
      </c>
      <c r="AH8" s="16">
        <f t="shared" si="1"/>
        <v>1.5111292018943815E-2</v>
      </c>
      <c r="AI8" s="16">
        <v>6</v>
      </c>
      <c r="AJ8" s="16">
        <f>SUM(Z28:Z51)</f>
        <v>840</v>
      </c>
      <c r="AK8">
        <f t="shared" si="2"/>
        <v>0</v>
      </c>
    </row>
    <row r="9" spans="1:37" x14ac:dyDescent="0.4">
      <c r="A9" s="20">
        <v>110</v>
      </c>
      <c r="B9" s="16">
        <v>0.4</v>
      </c>
      <c r="C9" s="16">
        <v>0.38876244665386495</v>
      </c>
      <c r="D9" s="16">
        <v>0</v>
      </c>
      <c r="E9" s="16">
        <v>85</v>
      </c>
      <c r="F9" s="16">
        <v>0.36</v>
      </c>
      <c r="G9" s="16">
        <v>0.49939298930308496</v>
      </c>
      <c r="H9" s="16">
        <v>1</v>
      </c>
      <c r="I9" s="16">
        <v>65</v>
      </c>
      <c r="J9" s="16">
        <v>0.37</v>
      </c>
      <c r="K9" s="16">
        <v>0.84996303082847502</v>
      </c>
      <c r="L9" s="16">
        <v>0.46153846153846201</v>
      </c>
      <c r="M9" s="15">
        <v>115</v>
      </c>
      <c r="N9" s="16">
        <v>41.7</v>
      </c>
      <c r="O9" s="16">
        <v>67.947295015616504</v>
      </c>
      <c r="P9" s="16">
        <f t="shared" si="0"/>
        <v>0.59084604361405657</v>
      </c>
      <c r="Q9" s="16">
        <v>7</v>
      </c>
      <c r="R9" s="16" t="s">
        <v>15</v>
      </c>
      <c r="S9" s="20">
        <v>110</v>
      </c>
      <c r="T9" s="16">
        <v>0.4</v>
      </c>
      <c r="U9" s="16">
        <v>0.38876244665386495</v>
      </c>
      <c r="V9" s="16">
        <v>0</v>
      </c>
      <c r="W9" s="16">
        <v>85</v>
      </c>
      <c r="X9" s="16">
        <v>0.36</v>
      </c>
      <c r="Y9" s="16">
        <v>0.49939298930308496</v>
      </c>
      <c r="Z9" s="16">
        <v>1</v>
      </c>
      <c r="AA9" s="16">
        <v>65</v>
      </c>
      <c r="AB9" s="16">
        <v>0.37</v>
      </c>
      <c r="AC9" s="16">
        <v>0.84996303082847502</v>
      </c>
      <c r="AD9" s="16">
        <v>0.46153846153846168</v>
      </c>
      <c r="AE9" s="15">
        <v>4805.0361072273745</v>
      </c>
      <c r="AF9" s="16">
        <v>41.7</v>
      </c>
      <c r="AG9" s="16">
        <v>67.947295015616476</v>
      </c>
      <c r="AH9" s="16">
        <f t="shared" si="1"/>
        <v>1.4140850037196444E-2</v>
      </c>
      <c r="AI9" s="16">
        <v>7</v>
      </c>
      <c r="AJ9" s="16" t="s">
        <v>15</v>
      </c>
      <c r="AK9" t="e">
        <f t="shared" si="2"/>
        <v>#VALUE!</v>
      </c>
    </row>
    <row r="10" spans="1:37" x14ac:dyDescent="0.4">
      <c r="A10" s="20">
        <v>105</v>
      </c>
      <c r="B10" s="16">
        <v>0.4</v>
      </c>
      <c r="C10" s="16">
        <v>0.71233969397257613</v>
      </c>
      <c r="D10" s="16">
        <v>0.90476190476190499</v>
      </c>
      <c r="E10" s="16">
        <v>60</v>
      </c>
      <c r="F10" s="16">
        <v>0.37</v>
      </c>
      <c r="G10" s="16">
        <v>0.50721295418319678</v>
      </c>
      <c r="H10" s="16">
        <v>1</v>
      </c>
      <c r="I10" s="16">
        <v>80</v>
      </c>
      <c r="J10" s="16">
        <v>0.41</v>
      </c>
      <c r="K10" s="16">
        <v>0.61973340862463178</v>
      </c>
      <c r="L10" s="16">
        <v>0</v>
      </c>
      <c r="M10" s="15">
        <v>155</v>
      </c>
      <c r="N10" s="16">
        <v>60.2</v>
      </c>
      <c r="O10" s="16">
        <v>98.105048178386497</v>
      </c>
      <c r="P10" s="16">
        <f t="shared" si="0"/>
        <v>0.63293579469926775</v>
      </c>
      <c r="Q10" s="16">
        <v>8</v>
      </c>
      <c r="R10" s="16">
        <f>SUM(L28:L51)</f>
        <v>701.00000000000023</v>
      </c>
      <c r="S10" s="20">
        <v>105</v>
      </c>
      <c r="T10" s="16">
        <v>0.4</v>
      </c>
      <c r="U10" s="16">
        <v>0.71233969397257613</v>
      </c>
      <c r="V10" s="16">
        <v>0.90476190476190477</v>
      </c>
      <c r="W10" s="16">
        <v>60</v>
      </c>
      <c r="X10" s="16">
        <v>0.37</v>
      </c>
      <c r="Y10" s="16">
        <v>0.50721295418319678</v>
      </c>
      <c r="Z10" s="16">
        <v>1</v>
      </c>
      <c r="AA10" s="16">
        <v>80</v>
      </c>
      <c r="AB10" s="16">
        <v>0.41</v>
      </c>
      <c r="AC10" s="16">
        <v>0.61973340862463178</v>
      </c>
      <c r="AD10" s="16">
        <v>0</v>
      </c>
      <c r="AE10" s="15">
        <v>7005.8695886322312</v>
      </c>
      <c r="AF10" s="16">
        <v>60.2</v>
      </c>
      <c r="AG10" s="16">
        <v>98.105048178386539</v>
      </c>
      <c r="AH10" s="16">
        <f t="shared" si="1"/>
        <v>1.4003264967645476E-2</v>
      </c>
      <c r="AI10" s="16">
        <v>8</v>
      </c>
      <c r="AJ10" s="16">
        <f>SUM(AD28:AD51)</f>
        <v>714.12750517730353</v>
      </c>
      <c r="AK10">
        <f t="shared" si="2"/>
        <v>1.872682621583923E-2</v>
      </c>
    </row>
    <row r="11" spans="1:37" x14ac:dyDescent="0.4">
      <c r="A11" s="20">
        <v>100</v>
      </c>
      <c r="B11" s="16">
        <v>0.41</v>
      </c>
      <c r="C11" s="16">
        <v>0.63144370298848773</v>
      </c>
      <c r="D11" s="16">
        <v>0</v>
      </c>
      <c r="E11" s="16">
        <v>60</v>
      </c>
      <c r="F11" s="16">
        <v>0.38</v>
      </c>
      <c r="G11" s="16">
        <v>0.53315013055751237</v>
      </c>
      <c r="H11" s="16">
        <v>1</v>
      </c>
      <c r="I11" s="16">
        <v>90</v>
      </c>
      <c r="J11" s="16">
        <v>0.39</v>
      </c>
      <c r="K11" s="16">
        <v>0.7338378812760058</v>
      </c>
      <c r="L11" s="16">
        <v>0.88888888888888895</v>
      </c>
      <c r="M11" s="15">
        <v>140</v>
      </c>
      <c r="N11" s="16">
        <v>54</v>
      </c>
      <c r="O11" s="16">
        <v>90.696038335531199</v>
      </c>
      <c r="P11" s="16">
        <f t="shared" si="0"/>
        <v>0.64782884525379425</v>
      </c>
      <c r="Q11" s="16">
        <v>9</v>
      </c>
      <c r="R11" s="16"/>
      <c r="S11" s="20">
        <v>100</v>
      </c>
      <c r="T11" s="16">
        <v>0.41</v>
      </c>
      <c r="U11" s="16">
        <v>0.63144370298848773</v>
      </c>
      <c r="V11" s="16">
        <v>0</v>
      </c>
      <c r="W11" s="16">
        <v>60</v>
      </c>
      <c r="X11" s="16">
        <v>0.38</v>
      </c>
      <c r="Y11" s="16">
        <v>0.53315013055751237</v>
      </c>
      <c r="Z11" s="16">
        <v>1</v>
      </c>
      <c r="AA11" s="16">
        <v>90</v>
      </c>
      <c r="AB11" s="16">
        <v>0.39</v>
      </c>
      <c r="AC11" s="16">
        <v>0.7338378812760058</v>
      </c>
      <c r="AD11" s="16">
        <v>0.88888888888888884</v>
      </c>
      <c r="AE11" s="15">
        <v>5107.4118243532794</v>
      </c>
      <c r="AF11" s="16">
        <v>54</v>
      </c>
      <c r="AG11" s="16">
        <v>90.696038335531199</v>
      </c>
      <c r="AH11" s="16">
        <f t="shared" si="1"/>
        <v>1.7757729639711495E-2</v>
      </c>
      <c r="AI11" s="16">
        <v>9</v>
      </c>
      <c r="AJ11" s="16"/>
    </row>
    <row r="12" spans="1:37" x14ac:dyDescent="0.4">
      <c r="A12" s="20">
        <v>95</v>
      </c>
      <c r="B12" s="16">
        <v>0.44</v>
      </c>
      <c r="C12" s="16">
        <v>0.21951130598434784</v>
      </c>
      <c r="D12" s="16">
        <v>0</v>
      </c>
      <c r="E12" s="16">
        <v>60</v>
      </c>
      <c r="F12" s="16">
        <v>0.36</v>
      </c>
      <c r="G12" s="16">
        <v>0.31967158380051036</v>
      </c>
      <c r="H12" s="16">
        <v>1</v>
      </c>
      <c r="I12" s="16">
        <v>70</v>
      </c>
      <c r="J12" s="16">
        <v>0.39</v>
      </c>
      <c r="K12" s="16">
        <v>0.67414155977287482</v>
      </c>
      <c r="L12" s="16">
        <v>0.58571428571428596</v>
      </c>
      <c r="M12" s="15">
        <v>101</v>
      </c>
      <c r="N12" s="16">
        <v>37.590000000000003</v>
      </c>
      <c r="O12" s="16">
        <v>46.820098978718498</v>
      </c>
      <c r="P12" s="16">
        <f t="shared" si="0"/>
        <v>0.46356533642295544</v>
      </c>
      <c r="Q12" s="16">
        <v>10</v>
      </c>
      <c r="R12" s="16"/>
      <c r="S12" s="20">
        <v>95</v>
      </c>
      <c r="T12" s="16">
        <v>0.44</v>
      </c>
      <c r="U12" s="16">
        <v>0.21951130598434784</v>
      </c>
      <c r="V12" s="16">
        <v>0</v>
      </c>
      <c r="W12" s="16">
        <v>60</v>
      </c>
      <c r="X12" s="16">
        <v>0.36</v>
      </c>
      <c r="Y12" s="16">
        <v>0.31967158380051036</v>
      </c>
      <c r="Z12" s="16">
        <v>1</v>
      </c>
      <c r="AA12" s="16">
        <v>70</v>
      </c>
      <c r="AB12" s="16">
        <v>0.39</v>
      </c>
      <c r="AC12" s="16">
        <v>0.67414155977287482</v>
      </c>
      <c r="AD12" s="16">
        <v>0.58571428571428574</v>
      </c>
      <c r="AE12" s="15">
        <v>101</v>
      </c>
      <c r="AF12" s="16">
        <v>37.590000000000003</v>
      </c>
      <c r="AG12" s="16">
        <v>46.820098978718491</v>
      </c>
      <c r="AH12" s="16">
        <f t="shared" si="1"/>
        <v>0.46356533642295533</v>
      </c>
      <c r="AI12" s="16">
        <v>10</v>
      </c>
      <c r="AJ12" s="16"/>
    </row>
    <row r="13" spans="1:37" x14ac:dyDescent="0.4">
      <c r="A13" s="20">
        <v>90</v>
      </c>
      <c r="B13" s="16">
        <v>0.49</v>
      </c>
      <c r="C13" s="16">
        <v>0.6579923466331854</v>
      </c>
      <c r="D13" s="16">
        <v>0</v>
      </c>
      <c r="E13" s="16">
        <v>60</v>
      </c>
      <c r="F13" s="16">
        <v>0.35</v>
      </c>
      <c r="G13" s="16">
        <v>0.75793802928150988</v>
      </c>
      <c r="H13" s="16">
        <v>1</v>
      </c>
      <c r="I13" s="16">
        <v>90</v>
      </c>
      <c r="J13" s="16">
        <v>0.38</v>
      </c>
      <c r="K13" s="16">
        <v>0.80843561388144669</v>
      </c>
      <c r="L13" s="16">
        <v>0.25555555555555598</v>
      </c>
      <c r="M13" s="15">
        <v>83</v>
      </c>
      <c r="N13" s="16">
        <v>29.74</v>
      </c>
      <c r="O13" s="16">
        <v>64.070300876163898</v>
      </c>
      <c r="P13" s="16">
        <f t="shared" si="0"/>
        <v>0.77193133585739637</v>
      </c>
      <c r="Q13" s="16">
        <v>11</v>
      </c>
      <c r="R13" s="16"/>
      <c r="S13" s="20">
        <v>90</v>
      </c>
      <c r="T13" s="16">
        <v>0.49</v>
      </c>
      <c r="U13" s="16">
        <v>0.6579923466331854</v>
      </c>
      <c r="V13" s="16">
        <v>0</v>
      </c>
      <c r="W13" s="16">
        <v>60</v>
      </c>
      <c r="X13" s="16">
        <v>0.35</v>
      </c>
      <c r="Y13" s="16">
        <v>0.75793802928150988</v>
      </c>
      <c r="Z13" s="16">
        <v>1</v>
      </c>
      <c r="AA13" s="16">
        <v>90</v>
      </c>
      <c r="AB13" s="16">
        <v>0.38</v>
      </c>
      <c r="AC13" s="16">
        <v>0.80843561388144669</v>
      </c>
      <c r="AD13" s="16">
        <v>0.25555555555555554</v>
      </c>
      <c r="AE13" s="15">
        <v>83</v>
      </c>
      <c r="AF13" s="16">
        <v>29.740000000000002</v>
      </c>
      <c r="AG13" s="16">
        <v>64.07030087616387</v>
      </c>
      <c r="AH13" s="16">
        <f t="shared" si="1"/>
        <v>0.77193133585739604</v>
      </c>
      <c r="AI13" s="16">
        <v>11</v>
      </c>
      <c r="AJ13" s="16"/>
    </row>
    <row r="14" spans="1:37" x14ac:dyDescent="0.4">
      <c r="A14" s="20">
        <v>90</v>
      </c>
      <c r="B14" s="16">
        <v>0.36</v>
      </c>
      <c r="C14" s="16">
        <v>0.42704042249461055</v>
      </c>
      <c r="D14" s="16">
        <v>0.94444444444444497</v>
      </c>
      <c r="E14" s="16">
        <v>75</v>
      </c>
      <c r="F14" s="16">
        <v>0.38</v>
      </c>
      <c r="G14" s="16">
        <v>0.6466190539456198</v>
      </c>
      <c r="H14" s="16">
        <v>0</v>
      </c>
      <c r="I14" s="16">
        <v>60</v>
      </c>
      <c r="J14" s="16">
        <v>0.38</v>
      </c>
      <c r="K14" s="16">
        <v>0.58779357049477643</v>
      </c>
      <c r="L14" s="16">
        <v>0</v>
      </c>
      <c r="M14" s="15">
        <v>85</v>
      </c>
      <c r="N14" s="16">
        <v>30.6</v>
      </c>
      <c r="O14" s="16">
        <v>36.298435912041903</v>
      </c>
      <c r="P14" s="16">
        <f t="shared" si="0"/>
        <v>0.42704042249461061</v>
      </c>
      <c r="Q14" s="16">
        <v>12</v>
      </c>
      <c r="R14" s="16"/>
      <c r="S14" s="20">
        <v>90</v>
      </c>
      <c r="T14" s="16">
        <v>0.36</v>
      </c>
      <c r="U14" s="16">
        <v>0.42704042249461055</v>
      </c>
      <c r="V14" s="16">
        <v>0.94444444444444453</v>
      </c>
      <c r="W14" s="16">
        <v>75</v>
      </c>
      <c r="X14" s="16">
        <v>0.38</v>
      </c>
      <c r="Y14" s="16">
        <v>0.6466190539456198</v>
      </c>
      <c r="Z14" s="16">
        <v>0</v>
      </c>
      <c r="AA14" s="16">
        <v>60</v>
      </c>
      <c r="AB14" s="16">
        <v>0.38</v>
      </c>
      <c r="AC14" s="16">
        <v>0.58779357049477643</v>
      </c>
      <c r="AD14" s="16">
        <v>0</v>
      </c>
      <c r="AE14" s="15">
        <v>85</v>
      </c>
      <c r="AF14" s="16">
        <v>30.6</v>
      </c>
      <c r="AG14" s="16">
        <v>36.298435912041896</v>
      </c>
      <c r="AH14" s="16">
        <f t="shared" si="1"/>
        <v>0.42704042249461055</v>
      </c>
      <c r="AI14" s="16">
        <v>12</v>
      </c>
      <c r="AJ14" s="16"/>
    </row>
    <row r="15" spans="1:37" x14ac:dyDescent="0.4">
      <c r="A15" s="20">
        <v>95</v>
      </c>
      <c r="B15" s="16">
        <v>0.36</v>
      </c>
      <c r="C15" s="16">
        <v>0.34819451268103435</v>
      </c>
      <c r="D15" s="16">
        <v>0.2</v>
      </c>
      <c r="E15" s="16">
        <v>80</v>
      </c>
      <c r="F15" s="16">
        <v>0.38</v>
      </c>
      <c r="G15" s="16">
        <v>0.53860716808302966</v>
      </c>
      <c r="H15" s="16">
        <v>0</v>
      </c>
      <c r="I15" s="16">
        <v>60</v>
      </c>
      <c r="J15" s="16">
        <v>0.34</v>
      </c>
      <c r="K15" s="16">
        <v>0.69995574641649738</v>
      </c>
      <c r="L15" s="16">
        <v>1</v>
      </c>
      <c r="M15" s="15">
        <v>79</v>
      </c>
      <c r="N15" s="16">
        <v>27.24</v>
      </c>
      <c r="O15" s="16">
        <v>48.613040525929499</v>
      </c>
      <c r="P15" s="16">
        <f t="shared" si="0"/>
        <v>0.61535494336619623</v>
      </c>
      <c r="Q15" s="16">
        <v>13</v>
      </c>
      <c r="R15" s="16"/>
      <c r="S15" s="20">
        <v>95</v>
      </c>
      <c r="T15" s="16">
        <v>0.36</v>
      </c>
      <c r="U15" s="16">
        <v>0.34819451268103435</v>
      </c>
      <c r="V15" s="16">
        <v>0.20000000000000007</v>
      </c>
      <c r="W15" s="16">
        <v>80</v>
      </c>
      <c r="X15" s="16">
        <v>0.38</v>
      </c>
      <c r="Y15" s="16">
        <v>0.53860716808302966</v>
      </c>
      <c r="Z15" s="16">
        <v>0</v>
      </c>
      <c r="AA15" s="16">
        <v>60</v>
      </c>
      <c r="AB15" s="16">
        <v>0.34</v>
      </c>
      <c r="AC15" s="16">
        <v>0.69995574641649738</v>
      </c>
      <c r="AD15" s="16">
        <v>1</v>
      </c>
      <c r="AE15" s="15">
        <v>79</v>
      </c>
      <c r="AF15" s="16">
        <v>27.240000000000002</v>
      </c>
      <c r="AG15" s="16">
        <v>48.613040525929499</v>
      </c>
      <c r="AH15" s="16">
        <f t="shared" si="1"/>
        <v>0.61535494336619623</v>
      </c>
      <c r="AI15" s="16">
        <v>13</v>
      </c>
      <c r="AJ15" s="16"/>
    </row>
    <row r="16" spans="1:37" x14ac:dyDescent="0.4">
      <c r="A16" s="20">
        <v>95</v>
      </c>
      <c r="B16" s="16">
        <v>0.4</v>
      </c>
      <c r="C16" s="16">
        <v>0.42597429038260959</v>
      </c>
      <c r="D16" s="16">
        <v>0.157894736842105</v>
      </c>
      <c r="E16" s="16">
        <v>85</v>
      </c>
      <c r="F16" s="16">
        <v>0.41</v>
      </c>
      <c r="G16" s="16">
        <v>0.75112985400952281</v>
      </c>
      <c r="H16" s="16">
        <v>0</v>
      </c>
      <c r="I16" s="16">
        <v>60</v>
      </c>
      <c r="J16" s="16">
        <v>0.36</v>
      </c>
      <c r="K16" s="16">
        <v>0.75195270211122234</v>
      </c>
      <c r="L16" s="16">
        <v>1</v>
      </c>
      <c r="M16" s="15">
        <v>75</v>
      </c>
      <c r="N16" s="16">
        <v>27.6</v>
      </c>
      <c r="O16" s="16">
        <v>51.506776482412498</v>
      </c>
      <c r="P16" s="16">
        <f t="shared" si="0"/>
        <v>0.68675701976549997</v>
      </c>
      <c r="Q16" s="16">
        <v>14</v>
      </c>
      <c r="R16" s="16"/>
      <c r="S16" s="20">
        <v>95</v>
      </c>
      <c r="T16" s="16">
        <v>0.4</v>
      </c>
      <c r="U16" s="16">
        <v>0.42597429038260959</v>
      </c>
      <c r="V16" s="16">
        <v>0.15789473684210531</v>
      </c>
      <c r="W16" s="16">
        <v>85</v>
      </c>
      <c r="X16" s="16">
        <v>0.41</v>
      </c>
      <c r="Y16" s="16">
        <v>0.75112985400952281</v>
      </c>
      <c r="Z16" s="16">
        <v>0</v>
      </c>
      <c r="AA16" s="16">
        <v>60</v>
      </c>
      <c r="AB16" s="16">
        <v>0.36</v>
      </c>
      <c r="AC16" s="16">
        <v>0.75195270211122234</v>
      </c>
      <c r="AD16" s="16">
        <v>1</v>
      </c>
      <c r="AE16" s="15">
        <v>5261.4741269000278</v>
      </c>
      <c r="AF16" s="16">
        <v>27.6</v>
      </c>
      <c r="AG16" s="16">
        <v>51.506776482412491</v>
      </c>
      <c r="AH16" s="16">
        <f t="shared" si="1"/>
        <v>9.789419322443654E-3</v>
      </c>
      <c r="AI16" s="16">
        <v>14</v>
      </c>
      <c r="AJ16" s="16"/>
    </row>
    <row r="17" spans="1:36" x14ac:dyDescent="0.4">
      <c r="A17" s="20">
        <v>90</v>
      </c>
      <c r="B17" s="16">
        <v>0.4</v>
      </c>
      <c r="C17" s="16">
        <v>0.33400339417002251</v>
      </c>
      <c r="D17" s="16">
        <v>0</v>
      </c>
      <c r="E17" s="16">
        <v>90</v>
      </c>
      <c r="F17" s="16">
        <v>0.35</v>
      </c>
      <c r="G17" s="16">
        <v>0.44294835811463018</v>
      </c>
      <c r="H17" s="16">
        <v>1</v>
      </c>
      <c r="I17" s="16">
        <v>60</v>
      </c>
      <c r="J17" s="16">
        <v>0.38</v>
      </c>
      <c r="K17" s="16">
        <v>0.80676102178808662</v>
      </c>
      <c r="L17" s="16">
        <v>0.58333333333333404</v>
      </c>
      <c r="M17" s="15">
        <v>125</v>
      </c>
      <c r="N17" s="16">
        <v>44.8</v>
      </c>
      <c r="O17" s="16">
        <v>68.101987992899794</v>
      </c>
      <c r="P17" s="16">
        <f t="shared" si="0"/>
        <v>0.54481590394319834</v>
      </c>
      <c r="Q17" s="16">
        <v>15</v>
      </c>
      <c r="R17" s="16"/>
      <c r="S17" s="20">
        <v>90</v>
      </c>
      <c r="T17" s="16">
        <v>0.4</v>
      </c>
      <c r="U17" s="16">
        <v>0.33400339417002251</v>
      </c>
      <c r="V17" s="16">
        <v>0</v>
      </c>
      <c r="W17" s="16">
        <v>90</v>
      </c>
      <c r="X17" s="16">
        <v>0.35</v>
      </c>
      <c r="Y17" s="16">
        <v>0.44294835811463018</v>
      </c>
      <c r="Z17" s="16">
        <v>1</v>
      </c>
      <c r="AA17" s="16">
        <v>60</v>
      </c>
      <c r="AB17" s="16">
        <v>0.38</v>
      </c>
      <c r="AC17" s="16">
        <v>0.80676102178808662</v>
      </c>
      <c r="AD17" s="16">
        <v>0.58333333333333348</v>
      </c>
      <c r="AE17" s="15">
        <v>3912.2004180684362</v>
      </c>
      <c r="AF17" s="16">
        <v>44.8</v>
      </c>
      <c r="AG17" s="16">
        <v>68.101987992899751</v>
      </c>
      <c r="AH17" s="16">
        <f t="shared" si="1"/>
        <v>1.7407591819266668E-2</v>
      </c>
      <c r="AI17" s="16">
        <v>15</v>
      </c>
      <c r="AJ17" s="16"/>
    </row>
    <row r="18" spans="1:36" x14ac:dyDescent="0.4">
      <c r="A18" s="20">
        <v>90</v>
      </c>
      <c r="B18" s="16">
        <v>0.35</v>
      </c>
      <c r="C18" s="16">
        <v>0.3420855651783688</v>
      </c>
      <c r="D18" s="16">
        <v>0.844444444444444</v>
      </c>
      <c r="E18" s="16">
        <v>65</v>
      </c>
      <c r="F18" s="16">
        <v>0.35</v>
      </c>
      <c r="G18" s="16">
        <v>0.60387575539145089</v>
      </c>
      <c r="H18" s="16">
        <v>0</v>
      </c>
      <c r="I18" s="16">
        <v>80</v>
      </c>
      <c r="J18" s="16">
        <v>0.37</v>
      </c>
      <c r="K18" s="16">
        <v>0.85112118955039506</v>
      </c>
      <c r="L18" s="16">
        <v>0</v>
      </c>
      <c r="M18" s="15">
        <v>76</v>
      </c>
      <c r="N18" s="16">
        <v>26.6</v>
      </c>
      <c r="O18" s="16">
        <v>25.998502953555999</v>
      </c>
      <c r="P18" s="16">
        <f t="shared" si="0"/>
        <v>0.34208556517836841</v>
      </c>
      <c r="Q18" s="16">
        <v>16</v>
      </c>
      <c r="R18" s="16"/>
      <c r="S18" s="20">
        <v>90</v>
      </c>
      <c r="T18" s="16">
        <v>0.35</v>
      </c>
      <c r="U18" s="16">
        <v>0.3420855651783688</v>
      </c>
      <c r="V18" s="16">
        <v>0.84444444444444444</v>
      </c>
      <c r="W18" s="16">
        <v>65</v>
      </c>
      <c r="X18" s="16">
        <v>0.35</v>
      </c>
      <c r="Y18" s="16">
        <v>0.60387575539145089</v>
      </c>
      <c r="Z18" s="16">
        <v>0</v>
      </c>
      <c r="AA18" s="16">
        <v>80</v>
      </c>
      <c r="AB18" s="16">
        <v>0.37</v>
      </c>
      <c r="AC18" s="16">
        <v>0.85112118955039506</v>
      </c>
      <c r="AD18" s="16">
        <v>0</v>
      </c>
      <c r="AE18" s="15">
        <v>76</v>
      </c>
      <c r="AF18" s="16">
        <v>26.599999999999998</v>
      </c>
      <c r="AG18" s="16">
        <v>25.998502953556031</v>
      </c>
      <c r="AH18" s="16">
        <f t="shared" si="1"/>
        <v>0.3420855651783688</v>
      </c>
      <c r="AI18" s="16">
        <v>16</v>
      </c>
      <c r="AJ18" s="16"/>
    </row>
    <row r="19" spans="1:36" x14ac:dyDescent="0.4">
      <c r="A19" s="20">
        <v>120</v>
      </c>
      <c r="B19" s="16">
        <v>0.36</v>
      </c>
      <c r="C19" s="16">
        <v>0.50346976077854644</v>
      </c>
      <c r="D19" s="16">
        <v>0.83333333333333304</v>
      </c>
      <c r="E19" s="16">
        <v>65</v>
      </c>
      <c r="F19" s="16">
        <v>0.35</v>
      </c>
      <c r="G19" s="16">
        <v>0.5899552958392642</v>
      </c>
      <c r="H19" s="16">
        <v>1</v>
      </c>
      <c r="I19" s="16">
        <v>70</v>
      </c>
      <c r="J19" s="16">
        <v>0.42</v>
      </c>
      <c r="K19" s="16">
        <v>0.70529311331754252</v>
      </c>
      <c r="L19" s="16">
        <v>0</v>
      </c>
      <c r="M19" s="15">
        <v>165</v>
      </c>
      <c r="N19" s="16">
        <v>58.75</v>
      </c>
      <c r="O19" s="16">
        <v>88.694070307406804</v>
      </c>
      <c r="P19" s="16">
        <f t="shared" si="0"/>
        <v>0.53753982004488976</v>
      </c>
      <c r="Q19" s="16">
        <v>17</v>
      </c>
      <c r="R19" s="16"/>
      <c r="S19" s="20">
        <v>120</v>
      </c>
      <c r="T19" s="16">
        <v>0.36</v>
      </c>
      <c r="U19" s="16">
        <v>0.50346976077854644</v>
      </c>
      <c r="V19" s="16">
        <v>0.83333333333333337</v>
      </c>
      <c r="W19" s="16">
        <v>65</v>
      </c>
      <c r="X19" s="16">
        <v>0.35</v>
      </c>
      <c r="Y19" s="16">
        <v>0.5899552958392642</v>
      </c>
      <c r="Z19" s="16">
        <v>1</v>
      </c>
      <c r="AA19" s="16">
        <v>70</v>
      </c>
      <c r="AB19" s="16">
        <v>0.42</v>
      </c>
      <c r="AC19" s="16">
        <v>0.70529311331754252</v>
      </c>
      <c r="AD19" s="16">
        <v>0</v>
      </c>
      <c r="AE19" s="15">
        <v>3588.7698871442276</v>
      </c>
      <c r="AF19" s="16">
        <v>58.75</v>
      </c>
      <c r="AG19" s="16">
        <v>88.694070307406818</v>
      </c>
      <c r="AH19" s="16">
        <f t="shared" si="1"/>
        <v>2.4714337529728143E-2</v>
      </c>
      <c r="AI19" s="16">
        <v>17</v>
      </c>
      <c r="AJ19" s="16"/>
    </row>
    <row r="20" spans="1:36" x14ac:dyDescent="0.4">
      <c r="A20" s="20">
        <v>115</v>
      </c>
      <c r="B20" s="16">
        <v>0.37</v>
      </c>
      <c r="C20" s="16">
        <v>0.4954034489800479</v>
      </c>
      <c r="D20" s="16">
        <v>0.65217391304347805</v>
      </c>
      <c r="E20" s="16">
        <v>65</v>
      </c>
      <c r="F20" s="16">
        <v>0.36</v>
      </c>
      <c r="G20" s="16">
        <v>0.64602067391655016</v>
      </c>
      <c r="H20" s="16">
        <v>1</v>
      </c>
      <c r="I20" s="16">
        <v>80</v>
      </c>
      <c r="J20" s="16">
        <v>0.4</v>
      </c>
      <c r="K20" s="16">
        <v>0.54754096893623905</v>
      </c>
      <c r="L20" s="16">
        <v>0</v>
      </c>
      <c r="M20" s="15">
        <v>140</v>
      </c>
      <c r="N20" s="16">
        <v>51.15</v>
      </c>
      <c r="O20" s="16">
        <v>79.146602478079402</v>
      </c>
      <c r="P20" s="16">
        <f t="shared" si="0"/>
        <v>0.56533287484342432</v>
      </c>
      <c r="Q20" s="16">
        <v>18</v>
      </c>
      <c r="R20" s="16"/>
      <c r="S20" s="20">
        <v>115</v>
      </c>
      <c r="T20" s="16">
        <v>0.37</v>
      </c>
      <c r="U20" s="16">
        <v>0.4954034489800479</v>
      </c>
      <c r="V20" s="16">
        <v>0.65217391304347838</v>
      </c>
      <c r="W20" s="16">
        <v>65</v>
      </c>
      <c r="X20" s="16">
        <v>0.36</v>
      </c>
      <c r="Y20" s="16">
        <v>0.64602067391655016</v>
      </c>
      <c r="Z20" s="16">
        <v>1</v>
      </c>
      <c r="AA20" s="16">
        <v>80</v>
      </c>
      <c r="AB20" s="16">
        <v>0.4</v>
      </c>
      <c r="AC20" s="16">
        <v>0.54754096893623905</v>
      </c>
      <c r="AD20" s="16">
        <v>0</v>
      </c>
      <c r="AE20" s="15">
        <v>140</v>
      </c>
      <c r="AF20" s="16">
        <v>51.150000000000006</v>
      </c>
      <c r="AG20" s="16">
        <v>79.146602478079359</v>
      </c>
      <c r="AH20" s="16">
        <f t="shared" si="1"/>
        <v>0.56533287484342398</v>
      </c>
      <c r="AI20" s="16">
        <v>18</v>
      </c>
      <c r="AJ20" s="16"/>
    </row>
    <row r="21" spans="1:36" x14ac:dyDescent="0.4">
      <c r="A21" s="20">
        <v>100</v>
      </c>
      <c r="B21" s="16">
        <v>0.56999999999999995</v>
      </c>
      <c r="C21" s="16">
        <v>0.49621924134296136</v>
      </c>
      <c r="D21" s="16">
        <v>0</v>
      </c>
      <c r="E21" s="16">
        <v>95</v>
      </c>
      <c r="F21" s="16">
        <v>0.4</v>
      </c>
      <c r="G21" s="16">
        <v>0.64538585966374284</v>
      </c>
      <c r="H21" s="16">
        <v>0.78947368421052599</v>
      </c>
      <c r="I21" s="16">
        <v>75</v>
      </c>
      <c r="J21" s="16">
        <v>0.39</v>
      </c>
      <c r="K21" s="16">
        <v>0.62246981627401432</v>
      </c>
      <c r="L21" s="16">
        <v>1</v>
      </c>
      <c r="M21" s="15">
        <v>150</v>
      </c>
      <c r="N21" s="16">
        <v>59.25</v>
      </c>
      <c r="O21" s="16">
        <v>95.089175695331804</v>
      </c>
      <c r="P21" s="16">
        <f t="shared" si="0"/>
        <v>0.63392783796887864</v>
      </c>
      <c r="Q21" s="16">
        <v>19</v>
      </c>
      <c r="R21" s="16"/>
      <c r="S21" s="20">
        <v>100</v>
      </c>
      <c r="T21" s="16">
        <v>0.56999999999999995</v>
      </c>
      <c r="U21" s="16">
        <v>0.49621924134296136</v>
      </c>
      <c r="V21" s="16">
        <v>0</v>
      </c>
      <c r="W21" s="16">
        <v>95</v>
      </c>
      <c r="X21" s="16">
        <v>0.4</v>
      </c>
      <c r="Y21" s="16">
        <v>0.64538585966374284</v>
      </c>
      <c r="Z21" s="16">
        <v>0.78947368421052633</v>
      </c>
      <c r="AA21" s="16">
        <v>75</v>
      </c>
      <c r="AB21" s="16">
        <v>0.39</v>
      </c>
      <c r="AC21" s="16">
        <v>0.62246981627401432</v>
      </c>
      <c r="AD21" s="16">
        <v>1</v>
      </c>
      <c r="AE21" s="15">
        <v>3590.3606226760767</v>
      </c>
      <c r="AF21" s="16">
        <v>59.25</v>
      </c>
      <c r="AG21" s="16">
        <v>95.089175695331789</v>
      </c>
      <c r="AH21" s="16">
        <f t="shared" si="1"/>
        <v>2.6484575141217163E-2</v>
      </c>
      <c r="AI21" s="16">
        <v>19</v>
      </c>
      <c r="AJ21" s="16"/>
    </row>
    <row r="22" spans="1:36" x14ac:dyDescent="0.4">
      <c r="A22" s="20">
        <v>90</v>
      </c>
      <c r="B22" s="16">
        <v>0.35</v>
      </c>
      <c r="C22" s="16">
        <v>0.42164971336080803</v>
      </c>
      <c r="D22" s="16">
        <v>1</v>
      </c>
      <c r="E22" s="16">
        <v>65</v>
      </c>
      <c r="F22" s="16">
        <v>0.37</v>
      </c>
      <c r="G22" s="16">
        <v>0.52761200826755439</v>
      </c>
      <c r="H22" s="16">
        <v>1</v>
      </c>
      <c r="I22" s="16">
        <v>70</v>
      </c>
      <c r="J22" s="16">
        <v>0.42</v>
      </c>
      <c r="K22" s="16">
        <v>0.59054182666800137</v>
      </c>
      <c r="L22" s="16">
        <v>0.185714285714286</v>
      </c>
      <c r="M22" s="15">
        <v>168</v>
      </c>
      <c r="N22" s="16">
        <v>61.01</v>
      </c>
      <c r="O22" s="16">
        <v>79.920298486547793</v>
      </c>
      <c r="P22" s="16">
        <f t="shared" si="0"/>
        <v>0.47571606241992737</v>
      </c>
      <c r="Q22" s="16">
        <v>20</v>
      </c>
      <c r="R22" s="16"/>
      <c r="S22" s="20">
        <v>90</v>
      </c>
      <c r="T22" s="16">
        <v>0.35</v>
      </c>
      <c r="U22" s="16">
        <v>0.42164971336080803</v>
      </c>
      <c r="V22" s="16">
        <v>1</v>
      </c>
      <c r="W22" s="16">
        <v>65</v>
      </c>
      <c r="X22" s="16">
        <v>0.37</v>
      </c>
      <c r="Y22" s="16">
        <v>0.52761200826755439</v>
      </c>
      <c r="Z22" s="16">
        <v>1</v>
      </c>
      <c r="AA22" s="16">
        <v>70</v>
      </c>
      <c r="AB22" s="16">
        <v>0.42</v>
      </c>
      <c r="AC22" s="16">
        <v>0.59054182666800137</v>
      </c>
      <c r="AD22" s="16">
        <v>0.18571428571428594</v>
      </c>
      <c r="AE22" s="15">
        <v>3758.5464102974383</v>
      </c>
      <c r="AF22" s="16">
        <v>61.010000000000005</v>
      </c>
      <c r="AG22" s="16">
        <v>79.920298486547779</v>
      </c>
      <c r="AH22" s="16">
        <f t="shared" si="1"/>
        <v>2.1263618900005325E-2</v>
      </c>
      <c r="AI22" s="16">
        <v>20</v>
      </c>
      <c r="AJ22" s="16"/>
    </row>
    <row r="23" spans="1:36" x14ac:dyDescent="0.4">
      <c r="A23" s="20">
        <v>105</v>
      </c>
      <c r="B23" s="16">
        <v>0.5</v>
      </c>
      <c r="C23" s="16">
        <v>0.23375130773149622</v>
      </c>
      <c r="D23" s="16">
        <v>8.5714285714285701E-2</v>
      </c>
      <c r="E23" s="16">
        <v>95</v>
      </c>
      <c r="F23" s="16">
        <v>0.51</v>
      </c>
      <c r="G23" s="16">
        <v>0.61109487038037313</v>
      </c>
      <c r="H23" s="16">
        <v>0</v>
      </c>
      <c r="I23" s="16">
        <v>80</v>
      </c>
      <c r="J23" s="16">
        <v>0.38</v>
      </c>
      <c r="K23" s="16">
        <v>0.93174572240020426</v>
      </c>
      <c r="L23" s="16">
        <v>1</v>
      </c>
      <c r="M23" s="15">
        <v>89</v>
      </c>
      <c r="N23" s="16">
        <v>34.9</v>
      </c>
      <c r="O23" s="16">
        <v>76.643419561599799</v>
      </c>
      <c r="P23" s="16">
        <f t="shared" si="0"/>
        <v>0.86116201754606514</v>
      </c>
      <c r="Q23" s="16">
        <v>21</v>
      </c>
      <c r="R23" s="16"/>
      <c r="S23" s="20">
        <v>105</v>
      </c>
      <c r="T23" s="16">
        <v>0.5</v>
      </c>
      <c r="U23" s="16">
        <v>0.23375130773149622</v>
      </c>
      <c r="V23" s="16">
        <v>8.5714285714285743E-2</v>
      </c>
      <c r="W23" s="16">
        <v>95</v>
      </c>
      <c r="X23" s="16">
        <v>0.51</v>
      </c>
      <c r="Y23" s="16">
        <v>0.61109487038037313</v>
      </c>
      <c r="Z23" s="16">
        <v>0</v>
      </c>
      <c r="AA23" s="16">
        <v>80</v>
      </c>
      <c r="AB23" s="16">
        <v>0.38</v>
      </c>
      <c r="AC23" s="16">
        <v>0.93174572240020426</v>
      </c>
      <c r="AD23" s="16">
        <v>1</v>
      </c>
      <c r="AE23" s="15">
        <v>89</v>
      </c>
      <c r="AF23" s="16">
        <v>34.9</v>
      </c>
      <c r="AG23" s="16">
        <v>76.643419561599814</v>
      </c>
      <c r="AH23" s="16">
        <f t="shared" si="1"/>
        <v>0.86116201754606536</v>
      </c>
      <c r="AI23" s="16">
        <v>21</v>
      </c>
      <c r="AJ23" s="16"/>
    </row>
    <row r="24" spans="1:36" x14ac:dyDescent="0.4">
      <c r="A24" s="20">
        <v>110</v>
      </c>
      <c r="B24" s="16">
        <v>0.48</v>
      </c>
      <c r="C24" s="16">
        <v>0.42622386513288385</v>
      </c>
      <c r="D24" s="16">
        <v>0</v>
      </c>
      <c r="E24" s="16">
        <v>85</v>
      </c>
      <c r="F24" s="16">
        <v>0.39</v>
      </c>
      <c r="G24" s="16">
        <v>0.5976120980790961</v>
      </c>
      <c r="H24" s="16">
        <v>5.8823529411764698E-2</v>
      </c>
      <c r="I24" s="16">
        <v>60</v>
      </c>
      <c r="J24" s="16">
        <v>0.35</v>
      </c>
      <c r="K24" s="16">
        <v>0.63513981185331059</v>
      </c>
      <c r="L24" s="16">
        <v>1</v>
      </c>
      <c r="M24" s="15">
        <v>65</v>
      </c>
      <c r="N24" s="16">
        <v>22.95</v>
      </c>
      <c r="O24" s="16">
        <v>41.096449201594098</v>
      </c>
      <c r="P24" s="16">
        <f t="shared" si="0"/>
        <v>0.63225306463990916</v>
      </c>
      <c r="Q24" s="16">
        <v>22</v>
      </c>
      <c r="R24" s="16"/>
      <c r="S24" s="20">
        <v>110</v>
      </c>
      <c r="T24" s="16">
        <v>0.48</v>
      </c>
      <c r="U24" s="16">
        <v>0.42622386513288385</v>
      </c>
      <c r="V24" s="16">
        <v>0</v>
      </c>
      <c r="W24" s="16">
        <v>85</v>
      </c>
      <c r="X24" s="16">
        <v>0.39</v>
      </c>
      <c r="Y24" s="16">
        <v>0.5976120980790961</v>
      </c>
      <c r="Z24" s="16">
        <v>5.8823529411764719E-2</v>
      </c>
      <c r="AA24" s="16">
        <v>60</v>
      </c>
      <c r="AB24" s="16">
        <v>0.35</v>
      </c>
      <c r="AC24" s="16">
        <v>0.63513981185331059</v>
      </c>
      <c r="AD24" s="16">
        <v>1</v>
      </c>
      <c r="AE24" s="15">
        <v>3916.1636407579149</v>
      </c>
      <c r="AF24" s="16">
        <v>22.95</v>
      </c>
      <c r="AG24" s="16">
        <v>41.096449201594119</v>
      </c>
      <c r="AH24" s="16">
        <f t="shared" si="1"/>
        <v>1.0494058208875183E-2</v>
      </c>
      <c r="AI24" s="16">
        <v>22</v>
      </c>
      <c r="AJ24" s="16"/>
    </row>
    <row r="25" spans="1:36" x14ac:dyDescent="0.4">
      <c r="A25" s="29">
        <v>90</v>
      </c>
      <c r="B25" s="30">
        <v>0.37</v>
      </c>
      <c r="C25" s="30">
        <v>0.51752352891647291</v>
      </c>
      <c r="D25" s="30">
        <v>7.7777777777777696E-2</v>
      </c>
      <c r="E25" s="30">
        <v>75</v>
      </c>
      <c r="F25" s="30">
        <v>0.37</v>
      </c>
      <c r="G25" s="30">
        <v>0.67687072875287257</v>
      </c>
      <c r="H25" s="30">
        <v>0</v>
      </c>
      <c r="I25" s="30">
        <v>60</v>
      </c>
      <c r="J25" s="30">
        <v>0.36</v>
      </c>
      <c r="K25" s="30">
        <v>0.77150767837039846</v>
      </c>
      <c r="L25" s="30">
        <v>1</v>
      </c>
      <c r="M25" s="27">
        <v>67</v>
      </c>
      <c r="N25" s="16">
        <v>24.19</v>
      </c>
      <c r="O25" s="16">
        <v>49.913125404639203</v>
      </c>
      <c r="P25" s="16">
        <f t="shared" si="0"/>
        <v>0.74497202096476423</v>
      </c>
      <c r="Q25" s="16">
        <v>23</v>
      </c>
      <c r="R25" s="16"/>
      <c r="S25" s="29">
        <v>90</v>
      </c>
      <c r="T25" s="30">
        <v>0.37</v>
      </c>
      <c r="U25" s="30">
        <v>0.51752352891647291</v>
      </c>
      <c r="V25" s="30">
        <v>7.7777777777777724E-2</v>
      </c>
      <c r="W25" s="30">
        <v>75</v>
      </c>
      <c r="X25" s="30">
        <v>0.37</v>
      </c>
      <c r="Y25" s="30">
        <v>0.67687072875287257</v>
      </c>
      <c r="Z25" s="30">
        <v>0</v>
      </c>
      <c r="AA25" s="30">
        <v>60</v>
      </c>
      <c r="AB25" s="30">
        <v>0.36</v>
      </c>
      <c r="AC25" s="30">
        <v>0.77150767837039846</v>
      </c>
      <c r="AD25" s="30">
        <v>1</v>
      </c>
      <c r="AE25" s="27">
        <v>67</v>
      </c>
      <c r="AF25" s="16">
        <v>24.189999999999998</v>
      </c>
      <c r="AG25" s="16">
        <v>49.913125404639217</v>
      </c>
      <c r="AH25" s="16">
        <f t="shared" si="1"/>
        <v>0.74497202096476445</v>
      </c>
      <c r="AI25" s="16">
        <v>23</v>
      </c>
      <c r="AJ25" s="16"/>
    </row>
    <row r="26" spans="1:36" x14ac:dyDescent="0.4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>
        <f>SUM(M2:M25)</f>
        <v>2448</v>
      </c>
      <c r="N26" s="16">
        <f>SUM(N2:N25)</f>
        <v>898.7600000000001</v>
      </c>
      <c r="O26" s="16">
        <f>SUM(O2:O25)</f>
        <v>1373.343847642567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>
        <f>SUM(AE2:AE25)</f>
        <v>50824.572073691044</v>
      </c>
      <c r="AF26" s="16">
        <f>SUM(AF2:AF25)</f>
        <v>898.89127505177294</v>
      </c>
      <c r="AG26" s="16">
        <f>SUM(AG2:AG25)</f>
        <v>1379.6676216112915</v>
      </c>
      <c r="AH26" s="16"/>
      <c r="AI26" s="16"/>
      <c r="AJ26" s="16"/>
    </row>
    <row r="28" spans="1:36" x14ac:dyDescent="0.4">
      <c r="D28">
        <f>A2*D2</f>
        <v>0</v>
      </c>
      <c r="H28">
        <f>E2*H2</f>
        <v>5</v>
      </c>
      <c r="L28">
        <f t="shared" ref="I28:L43" si="3">I2*L2</f>
        <v>60</v>
      </c>
      <c r="V28">
        <f t="shared" ref="V28:V51" si="4">S2*V2</f>
        <v>0</v>
      </c>
      <c r="Z28">
        <f t="shared" ref="Z28:Z51" si="5">W2*Z2</f>
        <v>5</v>
      </c>
      <c r="AD28">
        <f t="shared" ref="AD28:AD51" si="6">AA2*AD2</f>
        <v>60</v>
      </c>
    </row>
    <row r="29" spans="1:36" x14ac:dyDescent="0.4">
      <c r="D29">
        <f t="shared" ref="D29:D92" si="7">A3*D3</f>
        <v>62.999999999999986</v>
      </c>
      <c r="H29">
        <f t="shared" ref="E28:H43" si="8">E3*H3</f>
        <v>0</v>
      </c>
      <c r="L29">
        <f t="shared" si="3"/>
        <v>0</v>
      </c>
      <c r="V29">
        <f t="shared" si="4"/>
        <v>62.999999999999993</v>
      </c>
      <c r="Z29">
        <f t="shared" si="5"/>
        <v>0</v>
      </c>
      <c r="AD29">
        <f t="shared" si="6"/>
        <v>0</v>
      </c>
    </row>
    <row r="30" spans="1:36" x14ac:dyDescent="0.4">
      <c r="D30">
        <f t="shared" si="7"/>
        <v>67.000000000000014</v>
      </c>
      <c r="H30">
        <f t="shared" si="8"/>
        <v>0</v>
      </c>
      <c r="L30">
        <f t="shared" si="3"/>
        <v>0</v>
      </c>
      <c r="V30">
        <f t="shared" si="4"/>
        <v>53.872494822696439</v>
      </c>
      <c r="Z30">
        <f t="shared" si="5"/>
        <v>0</v>
      </c>
      <c r="AD30">
        <f t="shared" si="6"/>
        <v>13.127505177303561</v>
      </c>
    </row>
    <row r="31" spans="1:36" x14ac:dyDescent="0.4">
      <c r="D31">
        <f t="shared" si="7"/>
        <v>3.9999999999999956</v>
      </c>
      <c r="H31">
        <f t="shared" si="8"/>
        <v>75</v>
      </c>
      <c r="L31">
        <f t="shared" si="3"/>
        <v>0</v>
      </c>
      <c r="V31">
        <f t="shared" si="4"/>
        <v>3.9999999999999956</v>
      </c>
      <c r="Z31">
        <f t="shared" si="5"/>
        <v>75</v>
      </c>
      <c r="AD31">
        <f t="shared" si="6"/>
        <v>0</v>
      </c>
    </row>
    <row r="32" spans="1:36" x14ac:dyDescent="0.4">
      <c r="D32">
        <f t="shared" si="7"/>
        <v>60</v>
      </c>
      <c r="H32">
        <f t="shared" si="8"/>
        <v>0</v>
      </c>
      <c r="L32">
        <f t="shared" si="3"/>
        <v>24</v>
      </c>
      <c r="V32">
        <f t="shared" si="4"/>
        <v>60</v>
      </c>
      <c r="Z32">
        <f t="shared" si="5"/>
        <v>0</v>
      </c>
      <c r="AD32">
        <f t="shared" si="6"/>
        <v>23.999999999999993</v>
      </c>
    </row>
    <row r="33" spans="4:30" x14ac:dyDescent="0.4">
      <c r="D33">
        <f t="shared" si="7"/>
        <v>62.000000000000007</v>
      </c>
      <c r="H33">
        <f t="shared" si="8"/>
        <v>0</v>
      </c>
      <c r="L33">
        <f t="shared" si="3"/>
        <v>0</v>
      </c>
      <c r="V33">
        <f t="shared" si="4"/>
        <v>62</v>
      </c>
      <c r="Z33">
        <f t="shared" si="5"/>
        <v>0</v>
      </c>
      <c r="AD33">
        <f t="shared" si="6"/>
        <v>0</v>
      </c>
    </row>
    <row r="34" spans="4:30" x14ac:dyDescent="0.4">
      <c r="D34">
        <f t="shared" si="7"/>
        <v>80.000000000000014</v>
      </c>
      <c r="H34">
        <f t="shared" si="8"/>
        <v>70</v>
      </c>
      <c r="L34">
        <f t="shared" si="3"/>
        <v>0</v>
      </c>
      <c r="V34">
        <f t="shared" si="4"/>
        <v>80</v>
      </c>
      <c r="Z34">
        <f t="shared" si="5"/>
        <v>70</v>
      </c>
      <c r="AD34">
        <f t="shared" si="6"/>
        <v>0</v>
      </c>
    </row>
    <row r="35" spans="4:30" x14ac:dyDescent="0.4">
      <c r="D35">
        <f t="shared" si="7"/>
        <v>0</v>
      </c>
      <c r="H35">
        <f t="shared" si="8"/>
        <v>85</v>
      </c>
      <c r="L35">
        <f t="shared" si="3"/>
        <v>30.000000000000032</v>
      </c>
      <c r="V35">
        <f t="shared" si="4"/>
        <v>0</v>
      </c>
      <c r="Z35">
        <f t="shared" si="5"/>
        <v>85</v>
      </c>
      <c r="AD35">
        <f t="shared" si="6"/>
        <v>30.000000000000007</v>
      </c>
    </row>
    <row r="36" spans="4:30" x14ac:dyDescent="0.4">
      <c r="D36">
        <f t="shared" si="7"/>
        <v>95.000000000000028</v>
      </c>
      <c r="H36">
        <f t="shared" si="8"/>
        <v>60</v>
      </c>
      <c r="L36">
        <f t="shared" si="3"/>
        <v>0</v>
      </c>
      <c r="V36">
        <f t="shared" si="4"/>
        <v>95</v>
      </c>
      <c r="Z36">
        <f t="shared" si="5"/>
        <v>60</v>
      </c>
      <c r="AD36">
        <f t="shared" si="6"/>
        <v>0</v>
      </c>
    </row>
    <row r="37" spans="4:30" x14ac:dyDescent="0.4">
      <c r="D37">
        <f t="shared" si="7"/>
        <v>0</v>
      </c>
      <c r="H37">
        <f t="shared" si="8"/>
        <v>60</v>
      </c>
      <c r="L37">
        <f t="shared" si="3"/>
        <v>80</v>
      </c>
      <c r="V37">
        <f t="shared" si="4"/>
        <v>0</v>
      </c>
      <c r="Z37">
        <f t="shared" si="5"/>
        <v>60</v>
      </c>
      <c r="AD37">
        <f t="shared" si="6"/>
        <v>80</v>
      </c>
    </row>
    <row r="38" spans="4:30" x14ac:dyDescent="0.4">
      <c r="D38">
        <f t="shared" si="7"/>
        <v>0</v>
      </c>
      <c r="H38">
        <f t="shared" si="8"/>
        <v>60</v>
      </c>
      <c r="L38">
        <f t="shared" si="3"/>
        <v>41.000000000000014</v>
      </c>
      <c r="V38">
        <f t="shared" si="4"/>
        <v>0</v>
      </c>
      <c r="Z38">
        <f t="shared" si="5"/>
        <v>60</v>
      </c>
      <c r="AD38">
        <f t="shared" si="6"/>
        <v>41</v>
      </c>
    </row>
    <row r="39" spans="4:30" x14ac:dyDescent="0.4">
      <c r="D39">
        <f t="shared" si="7"/>
        <v>0</v>
      </c>
      <c r="H39">
        <f t="shared" si="8"/>
        <v>60</v>
      </c>
      <c r="L39">
        <f t="shared" si="3"/>
        <v>23.000000000000039</v>
      </c>
      <c r="V39">
        <f t="shared" si="4"/>
        <v>0</v>
      </c>
      <c r="Z39">
        <f t="shared" si="5"/>
        <v>60</v>
      </c>
      <c r="AD39">
        <f t="shared" si="6"/>
        <v>23</v>
      </c>
    </row>
    <row r="40" spans="4:30" x14ac:dyDescent="0.4">
      <c r="D40">
        <f t="shared" si="7"/>
        <v>85.000000000000043</v>
      </c>
      <c r="H40">
        <f t="shared" si="8"/>
        <v>0</v>
      </c>
      <c r="L40">
        <f t="shared" si="3"/>
        <v>0</v>
      </c>
      <c r="V40">
        <f t="shared" si="4"/>
        <v>85.000000000000014</v>
      </c>
      <c r="Z40">
        <f t="shared" si="5"/>
        <v>0</v>
      </c>
      <c r="AD40">
        <f t="shared" si="6"/>
        <v>0</v>
      </c>
    </row>
    <row r="41" spans="4:30" x14ac:dyDescent="0.4">
      <c r="D41">
        <f t="shared" si="7"/>
        <v>19</v>
      </c>
      <c r="H41">
        <f t="shared" si="8"/>
        <v>0</v>
      </c>
      <c r="L41">
        <f t="shared" si="3"/>
        <v>60</v>
      </c>
      <c r="V41">
        <f t="shared" si="4"/>
        <v>19.000000000000007</v>
      </c>
      <c r="Z41">
        <f t="shared" si="5"/>
        <v>0</v>
      </c>
      <c r="AD41">
        <f t="shared" si="6"/>
        <v>60</v>
      </c>
    </row>
    <row r="42" spans="4:30" x14ac:dyDescent="0.4">
      <c r="D42">
        <f t="shared" si="7"/>
        <v>14.999999999999975</v>
      </c>
      <c r="H42">
        <f t="shared" si="8"/>
        <v>0</v>
      </c>
      <c r="L42">
        <f t="shared" si="3"/>
        <v>60</v>
      </c>
      <c r="V42">
        <f t="shared" si="4"/>
        <v>15.000000000000004</v>
      </c>
      <c r="Z42">
        <f t="shared" si="5"/>
        <v>0</v>
      </c>
      <c r="AD42">
        <f t="shared" si="6"/>
        <v>60</v>
      </c>
    </row>
    <row r="43" spans="4:30" x14ac:dyDescent="0.4">
      <c r="D43">
        <f t="shared" si="7"/>
        <v>0</v>
      </c>
      <c r="H43">
        <f t="shared" si="8"/>
        <v>90</v>
      </c>
      <c r="L43">
        <f t="shared" si="3"/>
        <v>35.000000000000043</v>
      </c>
      <c r="V43">
        <f t="shared" si="4"/>
        <v>0</v>
      </c>
      <c r="Z43">
        <f t="shared" si="5"/>
        <v>90</v>
      </c>
      <c r="AD43">
        <f t="shared" si="6"/>
        <v>35.000000000000007</v>
      </c>
    </row>
    <row r="44" spans="4:30" x14ac:dyDescent="0.4">
      <c r="D44">
        <f t="shared" si="7"/>
        <v>75.999999999999957</v>
      </c>
      <c r="H44">
        <f t="shared" ref="H44:H51" si="9">E18*H18</f>
        <v>0</v>
      </c>
      <c r="L44">
        <f t="shared" ref="L44:L51" si="10">I18*L18</f>
        <v>0</v>
      </c>
      <c r="V44">
        <f t="shared" si="4"/>
        <v>76</v>
      </c>
      <c r="Z44">
        <f t="shared" si="5"/>
        <v>0</v>
      </c>
      <c r="AD44">
        <f t="shared" si="6"/>
        <v>0</v>
      </c>
    </row>
    <row r="45" spans="4:30" x14ac:dyDescent="0.4">
      <c r="D45">
        <f t="shared" si="7"/>
        <v>99.999999999999972</v>
      </c>
      <c r="H45">
        <f t="shared" si="9"/>
        <v>65</v>
      </c>
      <c r="L45">
        <f t="shared" si="10"/>
        <v>0</v>
      </c>
      <c r="V45">
        <f t="shared" si="4"/>
        <v>100</v>
      </c>
      <c r="Z45">
        <f t="shared" si="5"/>
        <v>65</v>
      </c>
      <c r="AD45">
        <f t="shared" si="6"/>
        <v>0</v>
      </c>
    </row>
    <row r="46" spans="4:30" x14ac:dyDescent="0.4">
      <c r="D46">
        <f t="shared" si="7"/>
        <v>74.999999999999972</v>
      </c>
      <c r="H46">
        <f t="shared" si="9"/>
        <v>65</v>
      </c>
      <c r="L46">
        <f t="shared" si="10"/>
        <v>0</v>
      </c>
      <c r="V46">
        <f t="shared" si="4"/>
        <v>75.000000000000014</v>
      </c>
      <c r="Z46">
        <f t="shared" si="5"/>
        <v>65</v>
      </c>
      <c r="AD46">
        <f t="shared" si="6"/>
        <v>0</v>
      </c>
    </row>
    <row r="47" spans="4:30" x14ac:dyDescent="0.4">
      <c r="D47">
        <f t="shared" si="7"/>
        <v>0</v>
      </c>
      <c r="H47">
        <f t="shared" si="9"/>
        <v>74.999999999999972</v>
      </c>
      <c r="L47">
        <f t="shared" si="10"/>
        <v>75</v>
      </c>
      <c r="V47">
        <f t="shared" si="4"/>
        <v>0</v>
      </c>
      <c r="Z47">
        <f t="shared" si="5"/>
        <v>75</v>
      </c>
      <c r="AD47">
        <f t="shared" si="6"/>
        <v>75</v>
      </c>
    </row>
    <row r="48" spans="4:30" x14ac:dyDescent="0.4">
      <c r="D48">
        <f t="shared" si="7"/>
        <v>90</v>
      </c>
      <c r="H48">
        <f t="shared" si="9"/>
        <v>65</v>
      </c>
      <c r="L48">
        <f t="shared" si="10"/>
        <v>13.00000000000002</v>
      </c>
      <c r="V48">
        <f t="shared" si="4"/>
        <v>90</v>
      </c>
      <c r="Z48">
        <f t="shared" si="5"/>
        <v>65</v>
      </c>
      <c r="AD48">
        <f t="shared" si="6"/>
        <v>13.000000000000016</v>
      </c>
    </row>
    <row r="49" spans="4:30" x14ac:dyDescent="0.4">
      <c r="D49">
        <f t="shared" si="7"/>
        <v>8.9999999999999982</v>
      </c>
      <c r="H49">
        <f t="shared" si="9"/>
        <v>0</v>
      </c>
      <c r="L49">
        <f t="shared" si="10"/>
        <v>80</v>
      </c>
      <c r="V49">
        <f t="shared" si="4"/>
        <v>9.0000000000000036</v>
      </c>
      <c r="Z49">
        <f t="shared" si="5"/>
        <v>0</v>
      </c>
      <c r="AD49">
        <f t="shared" si="6"/>
        <v>80</v>
      </c>
    </row>
    <row r="50" spans="4:30" x14ac:dyDescent="0.4">
      <c r="D50">
        <f t="shared" si="7"/>
        <v>0</v>
      </c>
      <c r="H50">
        <f t="shared" si="9"/>
        <v>4.9999999999999991</v>
      </c>
      <c r="L50">
        <f t="shared" si="10"/>
        <v>60</v>
      </c>
      <c r="V50">
        <f t="shared" si="4"/>
        <v>0</v>
      </c>
      <c r="Z50">
        <f t="shared" si="5"/>
        <v>5.0000000000000009</v>
      </c>
      <c r="AD50">
        <f t="shared" si="6"/>
        <v>60</v>
      </c>
    </row>
    <row r="51" spans="4:30" x14ac:dyDescent="0.4">
      <c r="D51">
        <f t="shared" si="7"/>
        <v>6.9999999999999929</v>
      </c>
      <c r="H51">
        <f t="shared" si="9"/>
        <v>0</v>
      </c>
      <c r="L51">
        <f t="shared" si="10"/>
        <v>60</v>
      </c>
      <c r="V51">
        <f t="shared" si="4"/>
        <v>6.9999999999999947</v>
      </c>
      <c r="Z51">
        <f t="shared" si="5"/>
        <v>0</v>
      </c>
      <c r="AD51">
        <f t="shared" si="6"/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cp:lastPrinted>2024-05-04T08:53:32Z</cp:lastPrinted>
  <dcterms:created xsi:type="dcterms:W3CDTF">2015-06-05T18:19:34Z</dcterms:created>
  <dcterms:modified xsi:type="dcterms:W3CDTF">2024-05-12T15:19:11Z</dcterms:modified>
</cp:coreProperties>
</file>