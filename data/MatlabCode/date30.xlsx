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Program Files\Polyspace\R2020b\bin\MatlabCode\"/>
    </mc:Choice>
  </mc:AlternateContent>
  <xr:revisionPtr revIDLastSave="0" documentId="13_ncr:1_{1DD23B41-29BA-40AE-B88A-770B22E31599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2" l="1" a="1"/>
  <c r="H8" i="2" s="1"/>
  <c r="C5" i="2" l="1"/>
  <c r="C6" i="2"/>
  <c r="D5" i="2"/>
  <c r="D6" i="2"/>
  <c r="E5" i="2"/>
  <c r="E6" i="2"/>
  <c r="H7" i="2" a="1"/>
  <c r="H7" i="2" s="1"/>
  <c r="AA78" i="1"/>
  <c r="Z78" i="1"/>
  <c r="AA52" i="1"/>
  <c r="Z52" i="1"/>
  <c r="T52" i="1"/>
  <c r="S52" i="1"/>
  <c r="L52" i="1"/>
  <c r="M52" i="1"/>
  <c r="T78" i="1"/>
  <c r="S78" i="1"/>
  <c r="M78" i="1"/>
  <c r="L78" i="1"/>
  <c r="E78" i="1"/>
  <c r="F78" i="1"/>
  <c r="E52" i="1"/>
  <c r="F52" i="1"/>
  <c r="H4" i="2" a="1"/>
  <c r="H4" i="2" s="1"/>
  <c r="H5" i="2" s="1"/>
  <c r="F26" i="1"/>
  <c r="E26" i="1"/>
  <c r="I5" i="2" l="1"/>
  <c r="J5" i="2"/>
  <c r="C8" i="2" a="1"/>
  <c r="C8" i="2" s="1"/>
  <c r="C9" i="2" a="1"/>
  <c r="C9" i="2" s="1"/>
  <c r="C10" i="2" l="1"/>
  <c r="D10" i="2"/>
  <c r="E10" i="2"/>
  <c r="H9" i="2" l="1" a="1"/>
  <c r="H9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<sst xmlns="http://schemas.openxmlformats.org/spreadsheetml/2006/main" count="113" uniqueCount="25">
  <si>
    <t>T</t>
    <phoneticPr fontId="1" type="noConversion"/>
  </si>
  <si>
    <t>dei</t>
    <phoneticPr fontId="1" type="noConversion"/>
  </si>
  <si>
    <t>dqi</t>
    <phoneticPr fontId="1" type="noConversion"/>
  </si>
  <si>
    <t>ε</t>
    <phoneticPr fontId="1" type="noConversion"/>
  </si>
  <si>
    <t>qb</t>
    <phoneticPr fontId="1" type="noConversion"/>
  </si>
  <si>
    <t>IC</t>
    <phoneticPr fontId="1" type="noConversion"/>
  </si>
  <si>
    <r>
      <rPr>
        <sz val="11"/>
        <rFont val="宋体"/>
        <family val="1"/>
        <charset val="134"/>
      </rPr>
      <t>接收数据区</t>
    </r>
    <phoneticPr fontId="1" type="noConversion"/>
  </si>
  <si>
    <t>全</t>
    <phoneticPr fontId="1" type="noConversion"/>
  </si>
  <si>
    <t>二三</t>
    <phoneticPr fontId="1" type="noConversion"/>
  </si>
  <si>
    <t>一三</t>
    <phoneticPr fontId="1" type="noConversion"/>
  </si>
  <si>
    <t>一二</t>
    <phoneticPr fontId="1" type="noConversion"/>
  </si>
  <si>
    <t>一</t>
  </si>
  <si>
    <t>一</t>
    <phoneticPr fontId="1" type="noConversion"/>
  </si>
  <si>
    <t>二</t>
  </si>
  <si>
    <t>二</t>
    <phoneticPr fontId="1" type="noConversion"/>
  </si>
  <si>
    <t>三</t>
  </si>
  <si>
    <t>三</t>
    <phoneticPr fontId="1" type="noConversion"/>
  </si>
  <si>
    <t>DC</t>
    <phoneticPr fontId="1" type="noConversion"/>
  </si>
  <si>
    <t>SI</t>
    <phoneticPr fontId="1" type="noConversion"/>
  </si>
  <si>
    <t>Q</t>
    <phoneticPr fontId="1" type="noConversion"/>
  </si>
  <si>
    <t>s1</t>
    <phoneticPr fontId="1" type="noConversion"/>
  </si>
  <si>
    <t>s2</t>
    <phoneticPr fontId="1" type="noConversion"/>
  </si>
  <si>
    <t>s3</t>
    <phoneticPr fontId="1" type="noConversion"/>
  </si>
  <si>
    <t>gc</t>
    <phoneticPr fontId="1" type="noConversion"/>
  </si>
  <si>
    <t>去除6、8、17、20、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</si>
</sst>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_ "/>
    <numFmt numFmtId="177" formatCode="0_);[Red]\(0\)"/>
    <numFmt numFmtId="178" formatCode="0.000_);[Red]\(0.000\)"/>
    <numFmt numFmtId="179" formatCode="0.0000000_ 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Times New Roman"/>
      <family val="1"/>
    </font>
    <font>
      <sz val="11"/>
      <name val="Times New Roman"/>
      <family val="1"/>
    </font>
    <font>
      <sz val="11"/>
      <name val="宋体"/>
      <family val="1"/>
      <charset val="134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76" fontId="4" fillId="2" borderId="5" xfId="0" applyNumberFormat="1" applyFont="1" applyFill="1" applyBorder="1" applyAlignment="1">
      <alignment horizontal="center" vertical="center"/>
    </xf>
    <xf numFmtId="176" fontId="4" fillId="2" borderId="6" xfId="0" applyNumberFormat="1" applyFont="1" applyFill="1" applyBorder="1" applyAlignment="1">
      <alignment horizontal="center" vertical="center"/>
    </xf>
    <xf numFmtId="176" fontId="4" fillId="2" borderId="7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3"/>
  <sheetViews>
    <sheetView tabSelected="1" topLeftCell="A62" zoomScale="115" zoomScaleNormal="115" workbookViewId="0">
      <selection activeCell="B78" sqref="B78:D78"/>
    </sheetView>
  </sheetViews>
  <sheetFormatPr defaultRowHeight="13.9" x14ac:dyDescent="0.4"/>
  <cols>
    <col min="1" max="1" width="4.06640625" style="4" bestFit="1" customWidth="1"/>
    <col min="2" max="4" width="8.19921875" style="3" bestFit="1" customWidth="1"/>
    <col min="5" max="6" width="12.33203125" style="4" bestFit="1" customWidth="1"/>
    <col min="7" max="7" width="12.33203125" style="2" bestFit="1" customWidth="1"/>
    <col min="8" max="8" width="4.06640625" style="2" bestFit="1" customWidth="1"/>
    <col min="9" max="9" width="6.265625" style="2" bestFit="1" customWidth="1"/>
    <col min="10" max="11" width="8.19921875" style="2" bestFit="1" customWidth="1"/>
    <col min="12" max="12" width="8.1328125" style="2" bestFit="1" customWidth="1"/>
    <col min="13" max="14" width="12.33203125" style="2" bestFit="1" customWidth="1"/>
    <col min="15" max="15" width="4.06640625" style="2" bestFit="1" customWidth="1"/>
    <col min="16" max="16" width="8.19921875" style="2" bestFit="1" customWidth="1"/>
    <col min="17" max="17" width="6.265625" style="2" bestFit="1" customWidth="1"/>
    <col min="18" max="18" width="8.19921875" style="2" bestFit="1" customWidth="1"/>
    <col min="19" max="21" width="12.33203125" style="2" bestFit="1" customWidth="1"/>
    <col min="22" max="22" width="4.06640625" style="2" bestFit="1" customWidth="1"/>
    <col min="23" max="24" width="8.19921875" style="2" bestFit="1" customWidth="1"/>
    <col min="25" max="25" width="6.265625" style="2" bestFit="1" customWidth="1"/>
    <col min="26" max="28" width="12.33203125" style="2" bestFit="1" customWidth="1"/>
    <col min="29" max="16384" width="9.06640625" style="2"/>
  </cols>
  <sheetData>
    <row r="1" spans="1:7" s="1" customFormat="1" ht="15" x14ac:dyDescent="0.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4</v>
      </c>
      <c r="G1" s="1" t="s">
        <v>3</v>
      </c>
    </row>
    <row r="2" spans="1:7" x14ac:dyDescent="0.4">
      <c r="A2" s="2">
        <v>0</v>
      </c>
      <c r="B2" s="3">
        <v>0</v>
      </c>
      <c r="C2" s="3">
        <v>0.8125</v>
      </c>
      <c r="D2" s="3">
        <v>0</v>
      </c>
      <c r="E2" s="2">
        <v>24.7</v>
      </c>
      <c r="F2" s="2">
        <v>43.094309507026622</v>
      </c>
      <c r="G2" s="2">
        <v>0.223</v>
      </c>
    </row>
    <row r="3" spans="1:7" ht="15" x14ac:dyDescent="0.4">
      <c r="A3" s="2">
        <v>1</v>
      </c>
      <c r="B3" s="3">
        <v>0.66315789473684206</v>
      </c>
      <c r="C3" s="3">
        <v>0</v>
      </c>
      <c r="D3" s="3">
        <v>0</v>
      </c>
      <c r="E3" s="2">
        <v>22.049999999999997</v>
      </c>
      <c r="F3" s="2">
        <v>33.886975591949039</v>
      </c>
      <c r="G3" s="1" t="s">
        <v>1</v>
      </c>
    </row>
    <row r="4" spans="1:7" x14ac:dyDescent="0.4">
      <c r="A4" s="2">
        <v>2</v>
      </c>
      <c r="B4" s="3">
        <v>0.58600619277533117</v>
      </c>
      <c r="C4" s="3">
        <v>0.13328719630992392</v>
      </c>
      <c r="D4" s="3">
        <v>0</v>
      </c>
      <c r="E4" s="2">
        <v>25.026352934907479</v>
      </c>
      <c r="F4" s="2">
        <v>14.940999999999992</v>
      </c>
      <c r="G4" s="2">
        <v>0.35734328142765825</v>
      </c>
    </row>
    <row r="5" spans="1:7" ht="15" x14ac:dyDescent="0.4">
      <c r="A5" s="2">
        <v>3</v>
      </c>
      <c r="B5" s="3">
        <v>4.4444444444444398E-2</v>
      </c>
      <c r="C5" s="3">
        <v>1</v>
      </c>
      <c r="D5" s="3">
        <v>0</v>
      </c>
      <c r="E5" s="2">
        <v>28.479999999999997</v>
      </c>
      <c r="F5" s="2">
        <v>45.544562392252125</v>
      </c>
      <c r="G5" s="1" t="s">
        <v>2</v>
      </c>
    </row>
    <row r="6" spans="1:7" x14ac:dyDescent="0.4">
      <c r="A6" s="2">
        <v>4</v>
      </c>
      <c r="B6" s="3">
        <v>1</v>
      </c>
      <c r="C6" s="3">
        <v>0.30000000000000004</v>
      </c>
      <c r="D6" s="3">
        <v>0</v>
      </c>
      <c r="E6" s="2">
        <v>30.360000000000003</v>
      </c>
      <c r="F6" s="2">
        <v>38.626282960185861</v>
      </c>
      <c r="G6" s="2">
        <v>0.45410443439654075</v>
      </c>
    </row>
    <row r="7" spans="1:7" ht="14.25" customHeight="1" x14ac:dyDescent="0.4">
      <c r="A7" s="2">
        <v>5</v>
      </c>
      <c r="B7" s="3">
        <v>0.68888888888888888</v>
      </c>
      <c r="C7" s="3">
        <v>0</v>
      </c>
      <c r="D7" s="3">
        <v>0</v>
      </c>
      <c r="E7" s="2">
        <v>22.32</v>
      </c>
      <c r="F7" s="2">
        <v>13.871332562907304</v>
      </c>
      <c r="G7" s="13" t="s">
        <v>6</v>
      </c>
    </row>
    <row r="8" spans="1:7" x14ac:dyDescent="0.4">
      <c r="A8" s="2">
        <v>6</v>
      </c>
      <c r="B8" s="3">
        <v>0.76190476190476186</v>
      </c>
      <c r="C8" s="3">
        <v>1</v>
      </c>
      <c r="D8" s="3">
        <v>0</v>
      </c>
      <c r="E8" s="2">
        <v>56.5</v>
      </c>
      <c r="F8" s="2">
        <v>74.097033243858021</v>
      </c>
      <c r="G8" s="14"/>
    </row>
    <row r="9" spans="1:7" x14ac:dyDescent="0.4">
      <c r="A9" s="2">
        <v>7</v>
      </c>
      <c r="B9" s="3">
        <v>0.27272727272727271</v>
      </c>
      <c r="C9" s="3">
        <v>1</v>
      </c>
      <c r="D9" s="3">
        <v>0</v>
      </c>
      <c r="E9" s="2">
        <v>42.599999999999994</v>
      </c>
      <c r="F9" s="2">
        <v>54.111277490378171</v>
      </c>
      <c r="G9" s="14"/>
    </row>
    <row r="10" spans="1:7" x14ac:dyDescent="0.4">
      <c r="A10" s="2">
        <v>8</v>
      </c>
      <c r="B10" s="3">
        <v>0.90476190476190477</v>
      </c>
      <c r="C10" s="3">
        <v>1</v>
      </c>
      <c r="D10" s="3">
        <v>0</v>
      </c>
      <c r="E10" s="2">
        <v>60.2</v>
      </c>
      <c r="F10" s="2">
        <v>98.105048178386539</v>
      </c>
      <c r="G10" s="14"/>
    </row>
    <row r="11" spans="1:7" x14ac:dyDescent="0.4">
      <c r="A11" s="2">
        <v>9</v>
      </c>
      <c r="B11" s="3">
        <v>0.80000000000000016</v>
      </c>
      <c r="C11" s="3">
        <v>1</v>
      </c>
      <c r="D11" s="3">
        <v>0</v>
      </c>
      <c r="E11" s="2">
        <v>55.600000000000009</v>
      </c>
      <c r="F11" s="2">
        <v>82.50450407252977</v>
      </c>
      <c r="G11" s="14"/>
    </row>
    <row r="12" spans="1:7" x14ac:dyDescent="0.4">
      <c r="A12" s="2">
        <v>10</v>
      </c>
      <c r="B12" s="3">
        <v>0.43157894736842106</v>
      </c>
      <c r="C12" s="3">
        <v>1</v>
      </c>
      <c r="D12" s="3">
        <v>0</v>
      </c>
      <c r="E12" s="2">
        <v>39.64</v>
      </c>
      <c r="F12" s="2">
        <v>28.180258573388883</v>
      </c>
      <c r="G12" s="14"/>
    </row>
    <row r="13" spans="1:7" x14ac:dyDescent="0.4">
      <c r="A13" s="2">
        <v>11</v>
      </c>
      <c r="B13" s="3">
        <v>0.25555555555555554</v>
      </c>
      <c r="C13" s="3">
        <v>1</v>
      </c>
      <c r="D13" s="3">
        <v>0</v>
      </c>
      <c r="E13" s="2">
        <v>32.269999999999996</v>
      </c>
      <c r="F13" s="2">
        <v>60.610105729453856</v>
      </c>
      <c r="G13" s="14"/>
    </row>
    <row r="14" spans="1:7" x14ac:dyDescent="0.4">
      <c r="A14" s="2">
        <v>12</v>
      </c>
      <c r="B14" s="3">
        <v>0.94444444444444453</v>
      </c>
      <c r="C14" s="3">
        <v>0</v>
      </c>
      <c r="D14" s="3">
        <v>0</v>
      </c>
      <c r="E14" s="2">
        <v>30.6</v>
      </c>
      <c r="F14" s="2">
        <v>36.298435912041896</v>
      </c>
      <c r="G14" s="14"/>
    </row>
    <row r="15" spans="1:7" x14ac:dyDescent="0.4">
      <c r="A15" s="2">
        <v>13</v>
      </c>
      <c r="B15" s="3">
        <v>0.83157894736842108</v>
      </c>
      <c r="C15" s="3">
        <v>0</v>
      </c>
      <c r="D15" s="3">
        <v>0</v>
      </c>
      <c r="E15" s="2">
        <v>28.439999999999998</v>
      </c>
      <c r="F15" s="2">
        <v>27.507366501801716</v>
      </c>
      <c r="G15" s="14"/>
    </row>
    <row r="16" spans="1:7" x14ac:dyDescent="0.4">
      <c r="A16" s="2">
        <v>14</v>
      </c>
      <c r="B16" s="3">
        <v>0.78947368421052633</v>
      </c>
      <c r="C16" s="3">
        <v>0</v>
      </c>
      <c r="D16" s="3">
        <v>0</v>
      </c>
      <c r="E16" s="2">
        <v>30</v>
      </c>
      <c r="F16" s="2">
        <v>31.948071778695716</v>
      </c>
      <c r="G16" s="14"/>
    </row>
    <row r="17" spans="1:28" x14ac:dyDescent="0.4">
      <c r="A17" s="2">
        <v>15</v>
      </c>
      <c r="B17" s="3">
        <v>0.38888888888888884</v>
      </c>
      <c r="C17" s="3">
        <v>1</v>
      </c>
      <c r="D17" s="3">
        <v>0</v>
      </c>
      <c r="E17" s="2">
        <v>45.499999999999993</v>
      </c>
      <c r="F17" s="2">
        <v>51.555471026267504</v>
      </c>
      <c r="G17" s="14"/>
    </row>
    <row r="18" spans="1:28" x14ac:dyDescent="0.4">
      <c r="A18" s="2">
        <v>16</v>
      </c>
      <c r="B18" s="3">
        <v>0.84444444444444444</v>
      </c>
      <c r="C18" s="3">
        <v>0</v>
      </c>
      <c r="D18" s="3">
        <v>0</v>
      </c>
      <c r="E18" s="2">
        <v>26.599999999999998</v>
      </c>
      <c r="F18" s="2">
        <v>25.998502953556031</v>
      </c>
      <c r="G18" s="14"/>
    </row>
    <row r="19" spans="1:28" x14ac:dyDescent="0.4">
      <c r="A19" s="2">
        <v>17</v>
      </c>
      <c r="B19" s="3">
        <v>0.83333333333333337</v>
      </c>
      <c r="C19" s="3">
        <v>1</v>
      </c>
      <c r="D19" s="3">
        <v>0</v>
      </c>
      <c r="E19" s="2">
        <v>58.75</v>
      </c>
      <c r="F19" s="2">
        <v>88.694070307406818</v>
      </c>
      <c r="G19" s="14"/>
    </row>
    <row r="20" spans="1:28" x14ac:dyDescent="0.4">
      <c r="A20" s="2">
        <v>18</v>
      </c>
      <c r="B20" s="3">
        <v>0.65217391304347838</v>
      </c>
      <c r="C20" s="3">
        <v>1</v>
      </c>
      <c r="D20" s="3">
        <v>0</v>
      </c>
      <c r="E20" s="2">
        <v>51.150000000000006</v>
      </c>
      <c r="F20" s="2">
        <v>79.146602478079359</v>
      </c>
      <c r="G20" s="14"/>
    </row>
    <row r="21" spans="1:28" x14ac:dyDescent="0.4">
      <c r="A21" s="2">
        <v>19</v>
      </c>
      <c r="B21" s="3">
        <v>0.54999999999999993</v>
      </c>
      <c r="C21" s="3">
        <v>1</v>
      </c>
      <c r="D21" s="3">
        <v>0</v>
      </c>
      <c r="E21" s="2">
        <v>69.349999999999994</v>
      </c>
      <c r="F21" s="2">
        <v>88.60371494191844</v>
      </c>
      <c r="G21" s="14"/>
    </row>
    <row r="22" spans="1:28" x14ac:dyDescent="0.4">
      <c r="A22" s="2">
        <v>20</v>
      </c>
      <c r="B22" s="3">
        <v>0</v>
      </c>
      <c r="C22" s="3">
        <v>0</v>
      </c>
      <c r="D22" s="3">
        <v>0</v>
      </c>
      <c r="E22" s="2">
        <v>0</v>
      </c>
      <c r="F22" s="2">
        <v>0</v>
      </c>
      <c r="G22" s="14"/>
    </row>
    <row r="23" spans="1:28" x14ac:dyDescent="0.4">
      <c r="A23" s="2">
        <v>21</v>
      </c>
      <c r="B23" s="3">
        <v>0.84761904761904772</v>
      </c>
      <c r="C23" s="3">
        <v>0</v>
      </c>
      <c r="D23" s="3">
        <v>0</v>
      </c>
      <c r="E23" s="2">
        <v>44.500000000000007</v>
      </c>
      <c r="F23" s="2">
        <v>20.803866388103167</v>
      </c>
      <c r="G23" s="14"/>
    </row>
    <row r="24" spans="1:28" x14ac:dyDescent="0.4">
      <c r="A24" s="2">
        <v>22</v>
      </c>
      <c r="B24" s="3">
        <v>0</v>
      </c>
      <c r="C24" s="3">
        <v>0.76470588235294112</v>
      </c>
      <c r="D24" s="3">
        <v>0</v>
      </c>
      <c r="E24" s="2">
        <v>25.349999999999998</v>
      </c>
      <c r="F24" s="2">
        <v>38.84478637514124</v>
      </c>
      <c r="G24" s="14"/>
    </row>
    <row r="25" spans="1:28" x14ac:dyDescent="0.4">
      <c r="A25" s="2">
        <v>23</v>
      </c>
      <c r="B25" s="3">
        <v>0.74444444444444446</v>
      </c>
      <c r="C25" s="3">
        <v>0</v>
      </c>
      <c r="D25" s="3">
        <v>0</v>
      </c>
      <c r="E25" s="2">
        <v>24.79</v>
      </c>
      <c r="F25" s="2">
        <v>34.674076437403684</v>
      </c>
      <c r="G25" s="14"/>
    </row>
    <row r="26" spans="1:28" ht="15" x14ac:dyDescent="0.4">
      <c r="A26" s="1" t="s">
        <v>5</v>
      </c>
      <c r="B26" s="3">
        <v>525.03141179291629</v>
      </c>
      <c r="C26" s="3">
        <v>349.74494114199115</v>
      </c>
      <c r="D26" s="3">
        <v>0</v>
      </c>
      <c r="E26" s="4">
        <f>SUM(E2:E25)</f>
        <v>874.77635293490744</v>
      </c>
      <c r="F26" s="4">
        <f>SUM(F2:F25)</f>
        <v>1111.6476554027317</v>
      </c>
      <c r="G26" s="15"/>
    </row>
    <row r="27" spans="1:28" ht="15" x14ac:dyDescent="0.4">
      <c r="A27" s="1" t="s">
        <v>0</v>
      </c>
      <c r="B27" s="1" t="s">
        <v>20</v>
      </c>
      <c r="C27" s="1" t="s">
        <v>21</v>
      </c>
      <c r="D27" s="1" t="s">
        <v>22</v>
      </c>
      <c r="E27" s="1" t="s">
        <v>23</v>
      </c>
      <c r="F27" s="1" t="s">
        <v>4</v>
      </c>
      <c r="G27" s="1" t="s">
        <v>3</v>
      </c>
      <c r="H27" s="1" t="s">
        <v>0</v>
      </c>
      <c r="I27" s="1" t="s">
        <v>20</v>
      </c>
      <c r="J27" s="1" t="s">
        <v>21</v>
      </c>
      <c r="K27" s="1" t="s">
        <v>22</v>
      </c>
      <c r="L27" s="1" t="s">
        <v>23</v>
      </c>
      <c r="M27" s="1" t="s">
        <v>4</v>
      </c>
      <c r="N27" s="1" t="s">
        <v>3</v>
      </c>
      <c r="O27" s="1" t="s">
        <v>0</v>
      </c>
      <c r="P27" s="1" t="s">
        <v>20</v>
      </c>
      <c r="Q27" s="1" t="s">
        <v>21</v>
      </c>
      <c r="R27" s="1" t="s">
        <v>22</v>
      </c>
      <c r="S27" s="1" t="s">
        <v>23</v>
      </c>
      <c r="T27" s="1" t="s">
        <v>4</v>
      </c>
      <c r="U27" s="1" t="s">
        <v>3</v>
      </c>
      <c r="V27" s="1" t="s">
        <v>0</v>
      </c>
      <c r="W27" s="1" t="s">
        <v>20</v>
      </c>
      <c r="X27" s="1" t="s">
        <v>21</v>
      </c>
      <c r="Y27" s="1" t="s">
        <v>22</v>
      </c>
      <c r="Z27" s="1" t="s">
        <v>23</v>
      </c>
      <c r="AA27" s="1" t="s">
        <v>4</v>
      </c>
      <c r="AB27" s="1" t="s">
        <v>3</v>
      </c>
    </row>
    <row r="28" spans="1:28" x14ac:dyDescent="0.4">
      <c r="A28" s="2">
        <v>0</v>
      </c>
      <c r="B28" s="3">
        <v>0</v>
      </c>
      <c r="C28" s="3">
        <v>6.25E-2</v>
      </c>
      <c r="D28" s="3">
        <v>1</v>
      </c>
      <c r="E28" s="2">
        <v>22.9</v>
      </c>
      <c r="F28" s="2">
        <v>51.676540899392791</v>
      </c>
      <c r="G28" s="2">
        <v>0</v>
      </c>
      <c r="H28" s="2">
        <v>0</v>
      </c>
      <c r="I28" s="3">
        <v>0</v>
      </c>
      <c r="J28" s="3">
        <v>6.25E-2</v>
      </c>
      <c r="K28" s="3">
        <v>1</v>
      </c>
      <c r="L28" s="2">
        <v>22.9</v>
      </c>
      <c r="M28" s="2">
        <v>51.676540899392791</v>
      </c>
      <c r="N28" s="2">
        <v>0</v>
      </c>
      <c r="O28" s="2">
        <v>0</v>
      </c>
      <c r="P28" s="3">
        <v>5.5555555555555469E-2</v>
      </c>
      <c r="Q28" s="3">
        <v>0</v>
      </c>
      <c r="R28" s="3">
        <v>1</v>
      </c>
      <c r="S28" s="2">
        <v>23.049999999999997</v>
      </c>
      <c r="T28" s="2">
        <v>50.402927584009944</v>
      </c>
      <c r="U28" s="2">
        <v>0</v>
      </c>
      <c r="V28" s="2">
        <v>0</v>
      </c>
      <c r="W28" s="3">
        <v>0</v>
      </c>
      <c r="X28" s="3">
        <v>0.8125</v>
      </c>
      <c r="Y28" s="3">
        <v>0</v>
      </c>
      <c r="Z28" s="2">
        <v>24.7</v>
      </c>
      <c r="AA28" s="2">
        <v>43.094309507026622</v>
      </c>
      <c r="AB28" s="2">
        <v>0</v>
      </c>
    </row>
    <row r="29" spans="1:28" ht="15" x14ac:dyDescent="0.4">
      <c r="A29" s="2">
        <v>1</v>
      </c>
      <c r="B29" s="3">
        <v>0.66315789473684206</v>
      </c>
      <c r="C29" s="3">
        <v>0</v>
      </c>
      <c r="D29" s="3">
        <v>0</v>
      </c>
      <c r="E29" s="2">
        <v>22.049999999999997</v>
      </c>
      <c r="F29" s="2">
        <v>33.886975591949039</v>
      </c>
      <c r="G29" s="1" t="s">
        <v>1</v>
      </c>
      <c r="H29" s="2">
        <v>1</v>
      </c>
      <c r="I29" s="3">
        <v>0</v>
      </c>
      <c r="J29" s="3">
        <v>0</v>
      </c>
      <c r="K29" s="3">
        <v>0.85135135135135143</v>
      </c>
      <c r="L29" s="2">
        <v>22.05</v>
      </c>
      <c r="M29" s="2">
        <v>50.880521774970717</v>
      </c>
      <c r="N29" s="1" t="s">
        <v>1</v>
      </c>
      <c r="O29" s="2">
        <v>1</v>
      </c>
      <c r="P29" s="3">
        <v>0.66315789473684206</v>
      </c>
      <c r="Q29" s="3">
        <v>0</v>
      </c>
      <c r="R29" s="3">
        <v>0</v>
      </c>
      <c r="S29" s="2">
        <v>22.049999999999997</v>
      </c>
      <c r="T29" s="2">
        <v>33.886975591949039</v>
      </c>
      <c r="U29" s="1" t="s">
        <v>1</v>
      </c>
      <c r="V29" s="2">
        <v>1</v>
      </c>
      <c r="W29" s="3">
        <v>0.66315789473684206</v>
      </c>
      <c r="X29" s="3">
        <v>0</v>
      </c>
      <c r="Y29" s="3">
        <v>0</v>
      </c>
      <c r="Z29" s="2">
        <v>22.049999999999997</v>
      </c>
      <c r="AA29" s="2">
        <v>33.886975591949039</v>
      </c>
      <c r="AB29" s="1" t="s">
        <v>1</v>
      </c>
    </row>
    <row r="30" spans="1:28" x14ac:dyDescent="0.4">
      <c r="A30" s="2">
        <v>2</v>
      </c>
      <c r="B30" s="3">
        <v>0.70526315789473681</v>
      </c>
      <c r="C30" s="3">
        <v>0</v>
      </c>
      <c r="D30" s="3">
        <v>0</v>
      </c>
      <c r="E30" s="2">
        <v>24.119999999999997</v>
      </c>
      <c r="F30" s="2">
        <v>8.6172260312755551</v>
      </c>
      <c r="G30" s="2">
        <v>0.367140522875817</v>
      </c>
      <c r="H30" s="2">
        <v>2</v>
      </c>
      <c r="I30" s="3">
        <v>0</v>
      </c>
      <c r="J30" s="3">
        <v>8.2352941176470629E-2</v>
      </c>
      <c r="K30" s="3">
        <v>1</v>
      </c>
      <c r="L30" s="2">
        <v>25.28</v>
      </c>
      <c r="M30" s="2">
        <v>41.427602661435984</v>
      </c>
      <c r="N30" s="2">
        <v>0.27431781045751641</v>
      </c>
      <c r="O30" s="2">
        <v>2</v>
      </c>
      <c r="P30" s="3">
        <v>0.70526315789473681</v>
      </c>
      <c r="Q30" s="3">
        <v>0</v>
      </c>
      <c r="R30" s="3">
        <v>0</v>
      </c>
      <c r="S30" s="2">
        <v>24.119999999999997</v>
      </c>
      <c r="T30" s="2">
        <v>8.6172260312755551</v>
      </c>
      <c r="U30" s="2">
        <v>0.33312908496732024</v>
      </c>
      <c r="V30" s="2">
        <v>2</v>
      </c>
      <c r="W30" s="3">
        <v>0.70526315789473681</v>
      </c>
      <c r="X30" s="3">
        <v>0</v>
      </c>
      <c r="Y30" s="3">
        <v>0</v>
      </c>
      <c r="Z30" s="2">
        <v>24.119999999999997</v>
      </c>
      <c r="AA30" s="2">
        <v>8.6172260312755551</v>
      </c>
      <c r="AB30" s="2">
        <v>0.35697303921568629</v>
      </c>
    </row>
    <row r="31" spans="1:28" ht="15" x14ac:dyDescent="0.4">
      <c r="A31" s="2">
        <v>3</v>
      </c>
      <c r="B31" s="3">
        <v>4.4444444444444398E-2</v>
      </c>
      <c r="C31" s="3">
        <v>1</v>
      </c>
      <c r="D31" s="3">
        <v>0</v>
      </c>
      <c r="E31" s="2">
        <v>28.479999999999997</v>
      </c>
      <c r="F31" s="2">
        <v>45.544562392252125</v>
      </c>
      <c r="G31" s="1" t="s">
        <v>2</v>
      </c>
      <c r="H31" s="2">
        <v>3</v>
      </c>
      <c r="I31" s="3">
        <v>0</v>
      </c>
      <c r="J31" s="3">
        <v>1</v>
      </c>
      <c r="K31" s="3">
        <v>6.6666666666666652E-2</v>
      </c>
      <c r="L31" s="2">
        <v>28.48</v>
      </c>
      <c r="M31" s="2">
        <v>46.59943670055705</v>
      </c>
      <c r="N31" s="1" t="s">
        <v>2</v>
      </c>
      <c r="O31" s="2">
        <v>3</v>
      </c>
      <c r="P31" s="3">
        <v>0.87777777777777777</v>
      </c>
      <c r="Q31" s="3">
        <v>0</v>
      </c>
      <c r="R31" s="3">
        <v>0</v>
      </c>
      <c r="S31" s="2">
        <v>29.229999999999997</v>
      </c>
      <c r="T31" s="2">
        <v>34.816669230908154</v>
      </c>
      <c r="U31" s="1" t="s">
        <v>2</v>
      </c>
      <c r="V31" s="2">
        <v>3</v>
      </c>
      <c r="W31" s="3">
        <v>4.4444444444444398E-2</v>
      </c>
      <c r="X31" s="3">
        <v>1</v>
      </c>
      <c r="Y31" s="3">
        <v>0</v>
      </c>
      <c r="Z31" s="2">
        <v>28.479999999999997</v>
      </c>
      <c r="AA31" s="2">
        <v>45.544562392252125</v>
      </c>
      <c r="AB31" s="1" t="s">
        <v>2</v>
      </c>
    </row>
    <row r="32" spans="1:28" x14ac:dyDescent="0.4">
      <c r="A32" s="2">
        <v>4</v>
      </c>
      <c r="B32" s="3">
        <v>1</v>
      </c>
      <c r="C32" s="3">
        <v>0</v>
      </c>
      <c r="D32" s="3">
        <v>0.39999999999999991</v>
      </c>
      <c r="E32" s="2">
        <v>30.119999999999997</v>
      </c>
      <c r="F32" s="2">
        <v>36.989510534476899</v>
      </c>
      <c r="G32" s="2">
        <v>0.56100647371019896</v>
      </c>
      <c r="H32" s="2">
        <v>4</v>
      </c>
      <c r="I32" s="3">
        <v>0</v>
      </c>
      <c r="J32" s="3">
        <v>0.30000000000000004</v>
      </c>
      <c r="K32" s="3">
        <v>1</v>
      </c>
      <c r="L32" s="2">
        <v>32.160000000000004</v>
      </c>
      <c r="M32" s="2">
        <v>49.960989259339527</v>
      </c>
      <c r="N32" s="2">
        <v>0.47928434671720888</v>
      </c>
      <c r="O32" s="2">
        <v>4</v>
      </c>
      <c r="P32" s="3">
        <v>1</v>
      </c>
      <c r="Q32" s="3">
        <v>0</v>
      </c>
      <c r="R32" s="3">
        <v>0.39999999999999991</v>
      </c>
      <c r="S32" s="2">
        <v>30.119999999999997</v>
      </c>
      <c r="T32" s="2">
        <v>36.989510534476899</v>
      </c>
      <c r="U32" s="2">
        <v>0.49992241079736216</v>
      </c>
      <c r="V32" s="2">
        <v>4</v>
      </c>
      <c r="W32" s="3">
        <v>1</v>
      </c>
      <c r="X32" s="3">
        <v>0.30000000000000004</v>
      </c>
      <c r="Y32" s="3">
        <v>0</v>
      </c>
      <c r="Z32" s="2">
        <v>30.360000000000003</v>
      </c>
      <c r="AA32" s="2">
        <v>38.626282960185861</v>
      </c>
      <c r="AB32" s="2">
        <v>0.4515211933962448</v>
      </c>
    </row>
    <row r="33" spans="1:28" x14ac:dyDescent="0.4">
      <c r="A33" s="2">
        <v>5</v>
      </c>
      <c r="B33" s="3">
        <v>0.68888888888888888</v>
      </c>
      <c r="C33" s="3">
        <v>0</v>
      </c>
      <c r="D33" s="3">
        <v>0</v>
      </c>
      <c r="E33" s="2">
        <v>22.32</v>
      </c>
      <c r="F33" s="2">
        <v>13.871332562907304</v>
      </c>
      <c r="G33" s="13">
        <v>123</v>
      </c>
      <c r="H33" s="2">
        <v>5</v>
      </c>
      <c r="I33" s="3">
        <v>0</v>
      </c>
      <c r="J33" s="3">
        <v>0.82666666666666677</v>
      </c>
      <c r="K33" s="3">
        <v>0</v>
      </c>
      <c r="L33" s="2">
        <v>23.560000000000002</v>
      </c>
      <c r="M33" s="2">
        <v>33.193046616696449</v>
      </c>
      <c r="N33" s="13">
        <v>23</v>
      </c>
      <c r="O33" s="2">
        <v>5</v>
      </c>
      <c r="P33" s="3">
        <v>0.68888888888888888</v>
      </c>
      <c r="Q33" s="3">
        <v>0</v>
      </c>
      <c r="R33" s="3">
        <v>0</v>
      </c>
      <c r="S33" s="2">
        <v>22.32</v>
      </c>
      <c r="T33" s="2">
        <v>13.871332562907304</v>
      </c>
      <c r="U33" s="13">
        <v>13</v>
      </c>
      <c r="V33" s="2">
        <v>5</v>
      </c>
      <c r="W33" s="3">
        <v>0.68888888888888888</v>
      </c>
      <c r="X33" s="3">
        <v>0</v>
      </c>
      <c r="Y33" s="3">
        <v>0</v>
      </c>
      <c r="Z33" s="2">
        <v>22.32</v>
      </c>
      <c r="AA33" s="2">
        <v>13.871332562907304</v>
      </c>
      <c r="AB33" s="13">
        <v>12</v>
      </c>
    </row>
    <row r="34" spans="1:28" x14ac:dyDescent="0.4">
      <c r="A34" s="2">
        <v>6</v>
      </c>
      <c r="B34" s="3">
        <v>0</v>
      </c>
      <c r="C34" s="3">
        <v>0</v>
      </c>
      <c r="D34" s="3">
        <v>0</v>
      </c>
      <c r="E34" s="2">
        <v>0</v>
      </c>
      <c r="F34" s="2">
        <v>0</v>
      </c>
      <c r="G34" s="14"/>
      <c r="H34" s="2">
        <v>6</v>
      </c>
      <c r="I34" s="3">
        <v>0</v>
      </c>
      <c r="J34" s="3">
        <v>0</v>
      </c>
      <c r="K34" s="3">
        <v>0</v>
      </c>
      <c r="L34" s="2">
        <v>0</v>
      </c>
      <c r="M34" s="2">
        <v>0</v>
      </c>
      <c r="N34" s="14"/>
      <c r="O34" s="2">
        <v>6</v>
      </c>
      <c r="P34" s="3">
        <v>0</v>
      </c>
      <c r="Q34" s="3">
        <v>0</v>
      </c>
      <c r="R34" s="3">
        <v>0</v>
      </c>
      <c r="S34" s="2">
        <v>0</v>
      </c>
      <c r="T34" s="2">
        <v>0</v>
      </c>
      <c r="U34" s="14"/>
      <c r="V34" s="2">
        <v>6</v>
      </c>
      <c r="W34" s="3">
        <v>0</v>
      </c>
      <c r="X34" s="3">
        <v>0</v>
      </c>
      <c r="Y34" s="3">
        <v>0</v>
      </c>
      <c r="Z34" s="2">
        <v>0</v>
      </c>
      <c r="AA34" s="2">
        <v>0</v>
      </c>
      <c r="AB34" s="14"/>
    </row>
    <row r="35" spans="1:28" x14ac:dyDescent="0.4">
      <c r="A35" s="2">
        <v>7</v>
      </c>
      <c r="B35" s="3">
        <v>0</v>
      </c>
      <c r="C35" s="3">
        <v>1</v>
      </c>
      <c r="D35" s="3">
        <v>0.46153846153846168</v>
      </c>
      <c r="E35" s="2">
        <v>41.7</v>
      </c>
      <c r="F35" s="2">
        <v>67.947295015616476</v>
      </c>
      <c r="G35" s="14"/>
      <c r="H35" s="2">
        <v>7</v>
      </c>
      <c r="I35" s="3">
        <v>0</v>
      </c>
      <c r="J35" s="3">
        <v>1</v>
      </c>
      <c r="K35" s="3">
        <v>0.46153846153846168</v>
      </c>
      <c r="L35" s="2">
        <v>41.7</v>
      </c>
      <c r="M35" s="2">
        <v>67.947295015616476</v>
      </c>
      <c r="N35" s="14"/>
      <c r="O35" s="2">
        <v>7</v>
      </c>
      <c r="P35" s="3">
        <v>0.45454545454545459</v>
      </c>
      <c r="Q35" s="3">
        <v>0</v>
      </c>
      <c r="R35" s="3">
        <v>1</v>
      </c>
      <c r="S35" s="2">
        <v>44.05</v>
      </c>
      <c r="T35" s="2">
        <v>74.685719336544125</v>
      </c>
      <c r="U35" s="14"/>
      <c r="V35" s="2">
        <v>7</v>
      </c>
      <c r="W35" s="3">
        <v>0.27272727272727271</v>
      </c>
      <c r="X35" s="3">
        <v>1</v>
      </c>
      <c r="Y35" s="3">
        <v>0</v>
      </c>
      <c r="Z35" s="2">
        <v>42.599999999999994</v>
      </c>
      <c r="AA35" s="2">
        <v>54.111277490378171</v>
      </c>
      <c r="AB35" s="14"/>
    </row>
    <row r="36" spans="1:28" x14ac:dyDescent="0.4">
      <c r="A36" s="2">
        <v>8</v>
      </c>
      <c r="B36" s="3">
        <v>0</v>
      </c>
      <c r="C36" s="3">
        <v>0</v>
      </c>
      <c r="D36" s="3">
        <v>0</v>
      </c>
      <c r="E36" s="2">
        <v>0</v>
      </c>
      <c r="F36" s="2">
        <v>0</v>
      </c>
      <c r="G36" s="14"/>
      <c r="H36" s="2">
        <v>8</v>
      </c>
      <c r="I36" s="3">
        <v>0</v>
      </c>
      <c r="J36" s="3">
        <v>0</v>
      </c>
      <c r="K36" s="3">
        <v>0</v>
      </c>
      <c r="L36" s="2">
        <v>0</v>
      </c>
      <c r="M36" s="2">
        <v>0</v>
      </c>
      <c r="N36" s="14"/>
      <c r="O36" s="2">
        <v>8</v>
      </c>
      <c r="P36" s="3">
        <v>0</v>
      </c>
      <c r="Q36" s="3">
        <v>0</v>
      </c>
      <c r="R36" s="3">
        <v>0</v>
      </c>
      <c r="S36" s="2">
        <v>0</v>
      </c>
      <c r="T36" s="2">
        <v>0</v>
      </c>
      <c r="U36" s="14"/>
      <c r="V36" s="2">
        <v>8</v>
      </c>
      <c r="W36" s="3">
        <v>0</v>
      </c>
      <c r="X36" s="3">
        <v>0</v>
      </c>
      <c r="Y36" s="3">
        <v>0</v>
      </c>
      <c r="Z36" s="2">
        <v>0</v>
      </c>
      <c r="AA36" s="2">
        <v>0</v>
      </c>
      <c r="AB36" s="14"/>
    </row>
    <row r="37" spans="1:28" x14ac:dyDescent="0.4">
      <c r="A37" s="2">
        <v>9</v>
      </c>
      <c r="B37" s="3">
        <v>0</v>
      </c>
      <c r="C37" s="3">
        <v>1</v>
      </c>
      <c r="D37" s="3">
        <v>0.88888888888888884</v>
      </c>
      <c r="E37" s="2">
        <v>54</v>
      </c>
      <c r="F37" s="2">
        <v>90.696038335531199</v>
      </c>
      <c r="G37" s="14"/>
      <c r="H37" s="2">
        <v>9</v>
      </c>
      <c r="I37" s="3">
        <v>0</v>
      </c>
      <c r="J37" s="3">
        <v>1</v>
      </c>
      <c r="K37" s="3">
        <v>0.88888888888888884</v>
      </c>
      <c r="L37" s="2">
        <v>54</v>
      </c>
      <c r="M37" s="2">
        <v>90.696038335531199</v>
      </c>
      <c r="N37" s="14"/>
      <c r="O37" s="2">
        <v>9</v>
      </c>
      <c r="P37" s="3">
        <v>0.50000000000000011</v>
      </c>
      <c r="Q37" s="3">
        <v>0</v>
      </c>
      <c r="R37" s="3">
        <v>1</v>
      </c>
      <c r="S37" s="2">
        <v>55.600000000000009</v>
      </c>
      <c r="T37" s="2">
        <v>97.617594464264926</v>
      </c>
      <c r="U37" s="14"/>
      <c r="V37" s="2">
        <v>9</v>
      </c>
      <c r="W37" s="3">
        <v>0.80000000000000016</v>
      </c>
      <c r="X37" s="3">
        <v>1</v>
      </c>
      <c r="Y37" s="3">
        <v>0</v>
      </c>
      <c r="Z37" s="2">
        <v>55.600000000000009</v>
      </c>
      <c r="AA37" s="2">
        <v>82.50450407252977</v>
      </c>
      <c r="AB37" s="14"/>
    </row>
    <row r="38" spans="1:28" x14ac:dyDescent="0.4">
      <c r="A38" s="2">
        <v>10</v>
      </c>
      <c r="B38" s="3">
        <v>0</v>
      </c>
      <c r="C38" s="3">
        <v>1</v>
      </c>
      <c r="D38" s="3">
        <v>0.58571428571428574</v>
      </c>
      <c r="E38" s="2">
        <v>37.590000000000003</v>
      </c>
      <c r="F38" s="2">
        <v>46.820098978718491</v>
      </c>
      <c r="G38" s="14"/>
      <c r="H38" s="2">
        <v>10</v>
      </c>
      <c r="I38" s="3">
        <v>0</v>
      </c>
      <c r="J38" s="3">
        <v>1</v>
      </c>
      <c r="K38" s="3">
        <v>0.58571428571428574</v>
      </c>
      <c r="L38" s="2">
        <v>37.590000000000003</v>
      </c>
      <c r="M38" s="2">
        <v>46.820098978718491</v>
      </c>
      <c r="N38" s="14"/>
      <c r="O38" s="2">
        <v>10</v>
      </c>
      <c r="P38" s="3">
        <v>0.32631578947368423</v>
      </c>
      <c r="Q38" s="3">
        <v>0</v>
      </c>
      <c r="R38" s="3">
        <v>1</v>
      </c>
      <c r="S38" s="2">
        <v>40.94</v>
      </c>
      <c r="T38" s="2">
        <v>53.994759669616023</v>
      </c>
      <c r="U38" s="14"/>
      <c r="V38" s="2">
        <v>10</v>
      </c>
      <c r="W38" s="3">
        <v>0.43157894736842106</v>
      </c>
      <c r="X38" s="3">
        <v>1</v>
      </c>
      <c r="Y38" s="3">
        <v>0</v>
      </c>
      <c r="Z38" s="2">
        <v>39.64</v>
      </c>
      <c r="AA38" s="2">
        <v>28.180258573388883</v>
      </c>
      <c r="AB38" s="14"/>
    </row>
    <row r="39" spans="1:28" x14ac:dyDescent="0.4">
      <c r="A39" s="2">
        <v>11</v>
      </c>
      <c r="B39" s="3">
        <v>0</v>
      </c>
      <c r="C39" s="3">
        <v>1</v>
      </c>
      <c r="D39" s="3">
        <v>0.25555555555555554</v>
      </c>
      <c r="E39" s="2">
        <v>29.740000000000002</v>
      </c>
      <c r="F39" s="2">
        <v>64.07030087616387</v>
      </c>
      <c r="G39" s="14"/>
      <c r="H39" s="2">
        <v>11</v>
      </c>
      <c r="I39" s="3">
        <v>0</v>
      </c>
      <c r="J39" s="3">
        <v>1</v>
      </c>
      <c r="K39" s="3">
        <v>0.25555555555555554</v>
      </c>
      <c r="L39" s="2">
        <v>29.740000000000002</v>
      </c>
      <c r="M39" s="2">
        <v>64.07030087616387</v>
      </c>
      <c r="N39" s="14"/>
      <c r="O39" s="2">
        <v>11</v>
      </c>
      <c r="P39" s="3">
        <v>0</v>
      </c>
      <c r="Q39" s="3">
        <v>0</v>
      </c>
      <c r="R39" s="3">
        <v>0.92222222222222228</v>
      </c>
      <c r="S39" s="2">
        <v>31.540000000000006</v>
      </c>
      <c r="T39" s="2">
        <v>67.10015595216008</v>
      </c>
      <c r="U39" s="14"/>
      <c r="V39" s="2">
        <v>11</v>
      </c>
      <c r="W39" s="3">
        <v>0.25555555555555554</v>
      </c>
      <c r="X39" s="3">
        <v>1</v>
      </c>
      <c r="Y39" s="3">
        <v>0</v>
      </c>
      <c r="Z39" s="2">
        <v>32.269999999999996</v>
      </c>
      <c r="AA39" s="2">
        <v>60.610105729453856</v>
      </c>
      <c r="AB39" s="14"/>
    </row>
    <row r="40" spans="1:28" x14ac:dyDescent="0.4">
      <c r="A40" s="2">
        <v>12</v>
      </c>
      <c r="B40" s="3">
        <v>0.94444444444444453</v>
      </c>
      <c r="C40" s="3">
        <v>0</v>
      </c>
      <c r="D40" s="3">
        <v>0</v>
      </c>
      <c r="E40" s="2">
        <v>30.6</v>
      </c>
      <c r="F40" s="2">
        <v>36.298435912041896</v>
      </c>
      <c r="G40" s="14"/>
      <c r="H40" s="2">
        <v>12</v>
      </c>
      <c r="I40" s="3">
        <v>0</v>
      </c>
      <c r="J40" s="3">
        <v>1</v>
      </c>
      <c r="K40" s="3">
        <v>0.16666666666666674</v>
      </c>
      <c r="L40" s="2">
        <v>32.300000000000004</v>
      </c>
      <c r="M40" s="2">
        <v>54.374364750869255</v>
      </c>
      <c r="N40" s="14"/>
      <c r="O40" s="2">
        <v>12</v>
      </c>
      <c r="P40" s="3">
        <v>0.94444444444444453</v>
      </c>
      <c r="Q40" s="3">
        <v>0</v>
      </c>
      <c r="R40" s="3">
        <v>0</v>
      </c>
      <c r="S40" s="2">
        <v>30.6</v>
      </c>
      <c r="T40" s="2">
        <v>36.298435912041896</v>
      </c>
      <c r="U40" s="14"/>
      <c r="V40" s="2">
        <v>12</v>
      </c>
      <c r="W40" s="3">
        <v>0.94444444444444453</v>
      </c>
      <c r="X40" s="3">
        <v>0</v>
      </c>
      <c r="Y40" s="3">
        <v>0</v>
      </c>
      <c r="Z40" s="2">
        <v>30.6</v>
      </c>
      <c r="AA40" s="2">
        <v>36.298435912041896</v>
      </c>
      <c r="AB40" s="14"/>
    </row>
    <row r="41" spans="1:28" x14ac:dyDescent="0.4">
      <c r="A41" s="2">
        <v>13</v>
      </c>
      <c r="B41" s="3">
        <v>0.20000000000000007</v>
      </c>
      <c r="C41" s="3">
        <v>0</v>
      </c>
      <c r="D41" s="3">
        <v>1</v>
      </c>
      <c r="E41" s="2">
        <v>27.240000000000002</v>
      </c>
      <c r="F41" s="2">
        <v>48.613040525929499</v>
      </c>
      <c r="G41" s="14"/>
      <c r="H41" s="2">
        <v>13</v>
      </c>
      <c r="I41" s="3">
        <v>0</v>
      </c>
      <c r="J41" s="3">
        <v>0.23750000000000004</v>
      </c>
      <c r="K41" s="3">
        <v>1</v>
      </c>
      <c r="L41" s="2">
        <v>27.620000000000005</v>
      </c>
      <c r="M41" s="2">
        <v>52.230880978567406</v>
      </c>
      <c r="N41" s="14"/>
      <c r="O41" s="2">
        <v>13</v>
      </c>
      <c r="P41" s="3">
        <v>0.20000000000000007</v>
      </c>
      <c r="Q41" s="3">
        <v>0</v>
      </c>
      <c r="R41" s="3">
        <v>1</v>
      </c>
      <c r="S41" s="2">
        <v>27.240000000000002</v>
      </c>
      <c r="T41" s="2">
        <v>48.613040525929499</v>
      </c>
      <c r="U41" s="14"/>
      <c r="V41" s="2">
        <v>13</v>
      </c>
      <c r="W41" s="3">
        <v>0.83157894736842108</v>
      </c>
      <c r="X41" s="3">
        <v>0</v>
      </c>
      <c r="Y41" s="3">
        <v>0</v>
      </c>
      <c r="Z41" s="2">
        <v>28.439999999999998</v>
      </c>
      <c r="AA41" s="2">
        <v>27.507366501801716</v>
      </c>
      <c r="AB41" s="14"/>
    </row>
    <row r="42" spans="1:28" x14ac:dyDescent="0.4">
      <c r="A42" s="2">
        <v>14</v>
      </c>
      <c r="B42" s="3">
        <v>0.15789473684210531</v>
      </c>
      <c r="C42" s="3">
        <v>0</v>
      </c>
      <c r="D42" s="3">
        <v>1</v>
      </c>
      <c r="E42" s="2">
        <v>27.6</v>
      </c>
      <c r="F42" s="2">
        <v>51.506776482412491</v>
      </c>
      <c r="G42" s="14"/>
      <c r="H42" s="2">
        <v>14</v>
      </c>
      <c r="I42" s="3">
        <v>0</v>
      </c>
      <c r="J42" s="3">
        <v>0.17647058823529416</v>
      </c>
      <c r="K42" s="3">
        <v>1</v>
      </c>
      <c r="L42" s="2">
        <v>27.75</v>
      </c>
      <c r="M42" s="2">
        <v>56.384109936816188</v>
      </c>
      <c r="N42" s="14"/>
      <c r="O42" s="2">
        <v>14</v>
      </c>
      <c r="P42" s="3">
        <v>0.15789473684210531</v>
      </c>
      <c r="Q42" s="3">
        <v>0</v>
      </c>
      <c r="R42" s="3">
        <v>1</v>
      </c>
      <c r="S42" s="2">
        <v>27.6</v>
      </c>
      <c r="T42" s="2">
        <v>51.506776482412491</v>
      </c>
      <c r="U42" s="14"/>
      <c r="V42" s="2">
        <v>14</v>
      </c>
      <c r="W42" s="3">
        <v>0.78947368421052633</v>
      </c>
      <c r="X42" s="3">
        <v>0</v>
      </c>
      <c r="Y42" s="3">
        <v>0</v>
      </c>
      <c r="Z42" s="2">
        <v>30</v>
      </c>
      <c r="AA42" s="2">
        <v>31.948071778695716</v>
      </c>
      <c r="AB42" s="14"/>
    </row>
    <row r="43" spans="1:28" x14ac:dyDescent="0.4">
      <c r="A43" s="2">
        <v>15</v>
      </c>
      <c r="B43" s="3">
        <v>0</v>
      </c>
      <c r="C43" s="3">
        <v>1</v>
      </c>
      <c r="D43" s="3">
        <v>0.58333333333333348</v>
      </c>
      <c r="E43" s="2">
        <v>44.8</v>
      </c>
      <c r="F43" s="2">
        <v>68.101987992899751</v>
      </c>
      <c r="G43" s="14"/>
      <c r="H43" s="2">
        <v>15</v>
      </c>
      <c r="I43" s="3">
        <v>0</v>
      </c>
      <c r="J43" s="3">
        <v>1</v>
      </c>
      <c r="K43" s="3">
        <v>0.58333333333333348</v>
      </c>
      <c r="L43" s="2">
        <v>44.8</v>
      </c>
      <c r="M43" s="2">
        <v>68.101987992899751</v>
      </c>
      <c r="N43" s="14"/>
      <c r="O43" s="2">
        <v>15</v>
      </c>
      <c r="P43" s="3">
        <v>0.7222222222222221</v>
      </c>
      <c r="Q43" s="3">
        <v>0</v>
      </c>
      <c r="R43" s="3">
        <v>1</v>
      </c>
      <c r="S43" s="2">
        <v>48.8</v>
      </c>
      <c r="T43" s="2">
        <v>70.115881928336663</v>
      </c>
      <c r="U43" s="14"/>
      <c r="V43" s="2">
        <v>15</v>
      </c>
      <c r="W43" s="3">
        <v>0.38888888888888884</v>
      </c>
      <c r="X43" s="3">
        <v>1</v>
      </c>
      <c r="Y43" s="3">
        <v>0</v>
      </c>
      <c r="Z43" s="2">
        <v>45.499999999999993</v>
      </c>
      <c r="AA43" s="2">
        <v>51.555471026267504</v>
      </c>
      <c r="AB43" s="14"/>
    </row>
    <row r="44" spans="1:28" x14ac:dyDescent="0.4">
      <c r="A44" s="2">
        <v>16</v>
      </c>
      <c r="B44" s="3">
        <v>0.84444444444444444</v>
      </c>
      <c r="C44" s="3">
        <v>0</v>
      </c>
      <c r="D44" s="3">
        <v>0</v>
      </c>
      <c r="E44" s="2">
        <v>26.599999999999998</v>
      </c>
      <c r="F44" s="2">
        <v>25.998502953556031</v>
      </c>
      <c r="G44" s="14"/>
      <c r="H44" s="2">
        <v>16</v>
      </c>
      <c r="I44" s="3">
        <v>0</v>
      </c>
      <c r="J44" s="3">
        <v>1</v>
      </c>
      <c r="K44" s="3">
        <v>0.13750000000000007</v>
      </c>
      <c r="L44" s="2">
        <v>26.82</v>
      </c>
      <c r="M44" s="2">
        <v>48.614257185498658</v>
      </c>
      <c r="N44" s="14"/>
      <c r="O44" s="2">
        <v>16</v>
      </c>
      <c r="P44" s="3">
        <v>0.84444444444444444</v>
      </c>
      <c r="Q44" s="3">
        <v>0</v>
      </c>
      <c r="R44" s="3">
        <v>0</v>
      </c>
      <c r="S44" s="2">
        <v>26.599999999999998</v>
      </c>
      <c r="T44" s="2">
        <v>25.998502953556031</v>
      </c>
      <c r="U44" s="14"/>
      <c r="V44" s="2">
        <v>16</v>
      </c>
      <c r="W44" s="3">
        <v>0.84444444444444444</v>
      </c>
      <c r="X44" s="3">
        <v>0</v>
      </c>
      <c r="Y44" s="3">
        <v>0</v>
      </c>
      <c r="Z44" s="2">
        <v>26.599999999999998</v>
      </c>
      <c r="AA44" s="2">
        <v>25.998502953556031</v>
      </c>
      <c r="AB44" s="14"/>
    </row>
    <row r="45" spans="1:28" x14ac:dyDescent="0.4">
      <c r="A45" s="2">
        <v>17</v>
      </c>
      <c r="B45" s="3">
        <v>0</v>
      </c>
      <c r="C45" s="3">
        <v>0</v>
      </c>
      <c r="D45" s="3">
        <v>0</v>
      </c>
      <c r="E45" s="2">
        <v>0</v>
      </c>
      <c r="F45" s="2">
        <v>0</v>
      </c>
      <c r="G45" s="14"/>
      <c r="H45" s="2">
        <v>17</v>
      </c>
      <c r="I45" s="3">
        <v>0</v>
      </c>
      <c r="J45" s="3">
        <v>0</v>
      </c>
      <c r="K45" s="3">
        <v>0</v>
      </c>
      <c r="L45" s="2">
        <v>0</v>
      </c>
      <c r="M45" s="2">
        <v>0</v>
      </c>
      <c r="N45" s="14"/>
      <c r="O45" s="2">
        <v>17</v>
      </c>
      <c r="P45" s="3">
        <v>0</v>
      </c>
      <c r="Q45" s="3">
        <v>0</v>
      </c>
      <c r="R45" s="3">
        <v>0</v>
      </c>
      <c r="S45" s="2">
        <v>0</v>
      </c>
      <c r="T45" s="2">
        <v>0</v>
      </c>
      <c r="U45" s="14"/>
      <c r="V45" s="2">
        <v>17</v>
      </c>
      <c r="W45" s="3">
        <v>0</v>
      </c>
      <c r="X45" s="3">
        <v>0</v>
      </c>
      <c r="Y45" s="3">
        <v>0</v>
      </c>
      <c r="Z45" s="2">
        <v>0</v>
      </c>
      <c r="AA45" s="2">
        <v>0</v>
      </c>
      <c r="AB45" s="14"/>
    </row>
    <row r="46" spans="1:28" x14ac:dyDescent="0.4">
      <c r="A46" s="2">
        <v>18</v>
      </c>
      <c r="B46" s="3">
        <v>0.65217391304347838</v>
      </c>
      <c r="C46" s="3">
        <v>1</v>
      </c>
      <c r="D46" s="3">
        <v>0</v>
      </c>
      <c r="E46" s="2">
        <v>51.150000000000006</v>
      </c>
      <c r="F46" s="2">
        <v>79.146602478079359</v>
      </c>
      <c r="G46" s="14"/>
      <c r="H46" s="2">
        <v>18</v>
      </c>
      <c r="I46" s="3">
        <v>0</v>
      </c>
      <c r="J46" s="3">
        <v>1</v>
      </c>
      <c r="K46" s="3">
        <v>0.9375</v>
      </c>
      <c r="L46" s="2">
        <v>53.4</v>
      </c>
      <c r="M46" s="2">
        <v>83.056916474793695</v>
      </c>
      <c r="N46" s="14"/>
      <c r="O46" s="2">
        <v>18</v>
      </c>
      <c r="P46" s="3">
        <v>1</v>
      </c>
      <c r="Q46" s="3">
        <v>0</v>
      </c>
      <c r="R46" s="3">
        <v>0.3125</v>
      </c>
      <c r="S46" s="2">
        <v>52.55</v>
      </c>
      <c r="T46" s="2">
        <v>70.659920856111484</v>
      </c>
      <c r="U46" s="14"/>
      <c r="V46" s="2">
        <v>18</v>
      </c>
      <c r="W46" s="3">
        <v>0.65217391304347838</v>
      </c>
      <c r="X46" s="3">
        <v>1</v>
      </c>
      <c r="Y46" s="3">
        <v>0</v>
      </c>
      <c r="Z46" s="2">
        <v>51.150000000000006</v>
      </c>
      <c r="AA46" s="2">
        <v>79.146602478079359</v>
      </c>
      <c r="AB46" s="14"/>
    </row>
    <row r="47" spans="1:28" x14ac:dyDescent="0.4">
      <c r="A47" s="2">
        <v>19</v>
      </c>
      <c r="B47" s="3">
        <v>0</v>
      </c>
      <c r="C47" s="3">
        <v>0.78947368421052633</v>
      </c>
      <c r="D47" s="3">
        <v>1</v>
      </c>
      <c r="E47" s="2">
        <v>59.25</v>
      </c>
      <c r="F47" s="2">
        <v>95.089175695331789</v>
      </c>
      <c r="G47" s="14"/>
      <c r="H47" s="2">
        <v>19</v>
      </c>
      <c r="I47" s="3">
        <v>0</v>
      </c>
      <c r="J47" s="3">
        <v>0.78947368421052633</v>
      </c>
      <c r="K47" s="3">
        <v>1</v>
      </c>
      <c r="L47" s="2">
        <v>59.25</v>
      </c>
      <c r="M47" s="2">
        <v>95.089175695331789</v>
      </c>
      <c r="N47" s="14"/>
      <c r="O47" s="2">
        <v>19</v>
      </c>
      <c r="P47" s="3">
        <v>0.75</v>
      </c>
      <c r="Q47" s="3">
        <v>0</v>
      </c>
      <c r="R47" s="3">
        <v>1</v>
      </c>
      <c r="S47" s="2">
        <v>72</v>
      </c>
      <c r="T47" s="2">
        <v>83.901679321273178</v>
      </c>
      <c r="U47" s="14"/>
      <c r="V47" s="2">
        <v>19</v>
      </c>
      <c r="W47" s="3">
        <v>0.54999999999999993</v>
      </c>
      <c r="X47" s="3">
        <v>1</v>
      </c>
      <c r="Y47" s="3">
        <v>0</v>
      </c>
      <c r="Z47" s="2">
        <v>69.349999999999994</v>
      </c>
      <c r="AA47" s="2">
        <v>88.60371494191844</v>
      </c>
      <c r="AB47" s="14"/>
    </row>
    <row r="48" spans="1:28" x14ac:dyDescent="0.4">
      <c r="A48" s="2">
        <v>20</v>
      </c>
      <c r="B48" s="3">
        <v>0</v>
      </c>
      <c r="C48" s="3">
        <v>0</v>
      </c>
      <c r="D48" s="3">
        <v>0</v>
      </c>
      <c r="E48" s="2">
        <v>0</v>
      </c>
      <c r="F48" s="2">
        <v>0</v>
      </c>
      <c r="G48" s="14"/>
      <c r="H48" s="2">
        <v>20</v>
      </c>
      <c r="I48" s="3">
        <v>0</v>
      </c>
      <c r="J48" s="3">
        <v>0</v>
      </c>
      <c r="K48" s="3">
        <v>0</v>
      </c>
      <c r="L48" s="2">
        <v>0</v>
      </c>
      <c r="M48" s="2">
        <v>0</v>
      </c>
      <c r="N48" s="14"/>
      <c r="O48" s="2">
        <v>20</v>
      </c>
      <c r="P48" s="3">
        <v>0</v>
      </c>
      <c r="Q48" s="3">
        <v>0</v>
      </c>
      <c r="R48" s="3">
        <v>0</v>
      </c>
      <c r="S48" s="2">
        <v>0</v>
      </c>
      <c r="T48" s="2">
        <v>0</v>
      </c>
      <c r="U48" s="14"/>
      <c r="V48" s="2">
        <v>20</v>
      </c>
      <c r="W48" s="3">
        <v>0</v>
      </c>
      <c r="X48" s="3">
        <v>0</v>
      </c>
      <c r="Y48" s="3">
        <v>0</v>
      </c>
      <c r="Z48" s="2">
        <v>0</v>
      </c>
      <c r="AA48" s="2">
        <v>0</v>
      </c>
      <c r="AB48" s="14"/>
    </row>
    <row r="49" spans="1:28" x14ac:dyDescent="0.4">
      <c r="A49" s="2">
        <v>21</v>
      </c>
      <c r="B49" s="3">
        <v>8.5714285714285743E-2</v>
      </c>
      <c r="C49" s="3">
        <v>0</v>
      </c>
      <c r="D49" s="3">
        <v>1</v>
      </c>
      <c r="E49" s="2">
        <v>34.9</v>
      </c>
      <c r="F49" s="2">
        <v>76.643419561599814</v>
      </c>
      <c r="G49" s="14"/>
      <c r="H49" s="2">
        <v>21</v>
      </c>
      <c r="I49" s="3">
        <v>0</v>
      </c>
      <c r="J49" s="3">
        <v>9.473684210526323E-2</v>
      </c>
      <c r="K49" s="3">
        <v>1</v>
      </c>
      <c r="L49" s="2">
        <v>34.99</v>
      </c>
      <c r="M49" s="2">
        <v>80.039511625439701</v>
      </c>
      <c r="N49" s="14"/>
      <c r="O49" s="2">
        <v>21</v>
      </c>
      <c r="P49" s="3">
        <v>8.5714285714285743E-2</v>
      </c>
      <c r="Q49" s="3">
        <v>0</v>
      </c>
      <c r="R49" s="3">
        <v>1</v>
      </c>
      <c r="S49" s="2">
        <v>34.9</v>
      </c>
      <c r="T49" s="2">
        <v>76.643419561599814</v>
      </c>
      <c r="U49" s="14"/>
      <c r="V49" s="2">
        <v>21</v>
      </c>
      <c r="W49" s="3">
        <v>0.84761904761904772</v>
      </c>
      <c r="X49" s="3">
        <v>0</v>
      </c>
      <c r="Y49" s="3">
        <v>0</v>
      </c>
      <c r="Z49" s="2">
        <v>44.500000000000007</v>
      </c>
      <c r="AA49" s="2">
        <v>20.803866388103167</v>
      </c>
      <c r="AB49" s="14"/>
    </row>
    <row r="50" spans="1:28" x14ac:dyDescent="0.4">
      <c r="A50" s="2">
        <v>22</v>
      </c>
      <c r="B50" s="3">
        <v>0</v>
      </c>
      <c r="C50" s="3">
        <v>5.8823529411764719E-2</v>
      </c>
      <c r="D50" s="3">
        <v>1</v>
      </c>
      <c r="E50" s="2">
        <v>22.95</v>
      </c>
      <c r="F50" s="2">
        <v>41.096449201594119</v>
      </c>
      <c r="G50" s="14"/>
      <c r="H50" s="2">
        <v>22</v>
      </c>
      <c r="I50" s="3">
        <v>0</v>
      </c>
      <c r="J50" s="3">
        <v>5.8823529411764719E-2</v>
      </c>
      <c r="K50" s="3">
        <v>1</v>
      </c>
      <c r="L50" s="2">
        <v>22.95</v>
      </c>
      <c r="M50" s="2">
        <v>41.096449201594119</v>
      </c>
      <c r="N50" s="14"/>
      <c r="O50" s="2">
        <v>22</v>
      </c>
      <c r="P50" s="3">
        <v>4.5454545454545414E-2</v>
      </c>
      <c r="Q50" s="3">
        <v>0</v>
      </c>
      <c r="R50" s="3">
        <v>1</v>
      </c>
      <c r="S50" s="2">
        <v>23.4</v>
      </c>
      <c r="T50" s="2">
        <v>40.23950803686305</v>
      </c>
      <c r="U50" s="14"/>
      <c r="V50" s="2">
        <v>22</v>
      </c>
      <c r="W50" s="3">
        <v>0</v>
      </c>
      <c r="X50" s="3">
        <v>0.76470588235294112</v>
      </c>
      <c r="Y50" s="3">
        <v>0</v>
      </c>
      <c r="Z50" s="2">
        <v>25.349999999999998</v>
      </c>
      <c r="AA50" s="2">
        <v>38.84478637514124</v>
      </c>
      <c r="AB50" s="14"/>
    </row>
    <row r="51" spans="1:28" x14ac:dyDescent="0.4">
      <c r="A51" s="2">
        <v>23</v>
      </c>
      <c r="B51" s="3">
        <v>7.7777777777777724E-2</v>
      </c>
      <c r="C51" s="3">
        <v>0</v>
      </c>
      <c r="D51" s="3">
        <v>1</v>
      </c>
      <c r="E51" s="2">
        <v>24.189999999999998</v>
      </c>
      <c r="F51" s="2">
        <v>49.913125404639217</v>
      </c>
      <c r="G51" s="14"/>
      <c r="H51" s="2">
        <v>23</v>
      </c>
      <c r="I51" s="3">
        <v>0</v>
      </c>
      <c r="J51" s="3">
        <v>9.3333333333333379E-2</v>
      </c>
      <c r="K51" s="3">
        <v>1</v>
      </c>
      <c r="L51" s="2">
        <v>24.189999999999998</v>
      </c>
      <c r="M51" s="2">
        <v>51.028555803494022</v>
      </c>
      <c r="N51" s="14"/>
      <c r="O51" s="2">
        <v>23</v>
      </c>
      <c r="P51" s="3">
        <v>7.7777777777777724E-2</v>
      </c>
      <c r="Q51" s="3">
        <v>0</v>
      </c>
      <c r="R51" s="3">
        <v>1</v>
      </c>
      <c r="S51" s="2">
        <v>24.189999999999998</v>
      </c>
      <c r="T51" s="2">
        <v>49.913125404639217</v>
      </c>
      <c r="U51" s="14"/>
      <c r="V51" s="2">
        <v>23</v>
      </c>
      <c r="W51" s="3">
        <v>0.74444444444444446</v>
      </c>
      <c r="X51" s="3">
        <v>0</v>
      </c>
      <c r="Y51" s="3">
        <v>0</v>
      </c>
      <c r="Z51" s="2">
        <v>24.79</v>
      </c>
      <c r="AA51" s="2">
        <v>34.674076437403684</v>
      </c>
      <c r="AB51" s="14"/>
    </row>
    <row r="52" spans="1:28" ht="15" x14ac:dyDescent="0.4">
      <c r="A52" s="1" t="s">
        <v>5</v>
      </c>
      <c r="B52" s="3">
        <v>333.34999999999997</v>
      </c>
      <c r="C52" s="3">
        <v>305.25</v>
      </c>
      <c r="D52" s="3">
        <v>260.16000000000003</v>
      </c>
      <c r="E52" s="8">
        <f>SUM(E28:E51)</f>
        <v>662.30000000000018</v>
      </c>
      <c r="F52" s="4">
        <f>SUM(F28:F51)</f>
        <v>1032.5273974263675</v>
      </c>
      <c r="G52" s="15"/>
      <c r="H52" s="1" t="s">
        <v>5</v>
      </c>
      <c r="I52" s="3">
        <v>0</v>
      </c>
      <c r="J52" s="3">
        <v>319.54999999999995</v>
      </c>
      <c r="K52" s="3">
        <v>351.98</v>
      </c>
      <c r="L52" s="8">
        <f>SUM(L28:L51)</f>
        <v>671.5300000000002</v>
      </c>
      <c r="M52" s="4">
        <f>SUM(M28:M51)</f>
        <v>1173.2880807637273</v>
      </c>
      <c r="N52" s="15"/>
      <c r="O52" s="1" t="s">
        <v>5</v>
      </c>
      <c r="P52" s="3">
        <v>450.93999999999994</v>
      </c>
      <c r="Q52" s="3">
        <v>0</v>
      </c>
      <c r="R52" s="3">
        <v>364.56000000000006</v>
      </c>
      <c r="S52" s="8">
        <f>SUM(S28:S51)</f>
        <v>690.90000000000009</v>
      </c>
      <c r="T52" s="4">
        <f>SUM(T28:T51)</f>
        <v>1025.8731619408754</v>
      </c>
      <c r="U52" s="15"/>
      <c r="V52" s="1" t="s">
        <v>5</v>
      </c>
      <c r="W52" s="3">
        <v>529.11</v>
      </c>
      <c r="X52" s="3">
        <v>344.76</v>
      </c>
      <c r="Y52" s="3">
        <v>0</v>
      </c>
      <c r="Z52" s="8">
        <f>SUM(Z28:Z51)</f>
        <v>698.42000000000007</v>
      </c>
      <c r="AA52" s="4">
        <f>SUM(AA28:AA51)</f>
        <v>844.42772970435578</v>
      </c>
      <c r="AB52" s="15"/>
    </row>
    <row r="53" spans="1:28" ht="15" x14ac:dyDescent="0.4">
      <c r="A53" s="1" t="s">
        <v>0</v>
      </c>
      <c r="B53" s="1" t="s">
        <v>20</v>
      </c>
      <c r="C53" s="1" t="s">
        <v>21</v>
      </c>
      <c r="D53" s="1" t="s">
        <v>22</v>
      </c>
      <c r="E53" s="1" t="s">
        <v>23</v>
      </c>
      <c r="F53" s="1" t="s">
        <v>4</v>
      </c>
      <c r="G53" s="1" t="s">
        <v>3</v>
      </c>
      <c r="H53" s="1" t="s">
        <v>0</v>
      </c>
      <c r="I53" s="1" t="s">
        <v>20</v>
      </c>
      <c r="J53" s="1" t="s">
        <v>21</v>
      </c>
      <c r="K53" s="1" t="s">
        <v>22</v>
      </c>
      <c r="L53" s="1" t="s">
        <v>23</v>
      </c>
      <c r="M53" s="1" t="s">
        <v>4</v>
      </c>
      <c r="N53" s="1" t="s">
        <v>3</v>
      </c>
      <c r="O53" s="1" t="s">
        <v>0</v>
      </c>
      <c r="P53" s="1" t="s">
        <v>20</v>
      </c>
      <c r="Q53" s="1" t="s">
        <v>21</v>
      </c>
      <c r="R53" s="1" t="s">
        <v>22</v>
      </c>
      <c r="S53" s="1" t="s">
        <v>23</v>
      </c>
      <c r="T53" s="1" t="s">
        <v>4</v>
      </c>
      <c r="U53" s="1" t="s">
        <v>3</v>
      </c>
      <c r="V53" s="1" t="s">
        <v>0</v>
      </c>
      <c r="W53" s="1" t="s">
        <v>20</v>
      </c>
      <c r="X53" s="1" t="s">
        <v>21</v>
      </c>
      <c r="Y53" s="1" t="s">
        <v>22</v>
      </c>
      <c r="Z53" s="1" t="s">
        <v>23</v>
      </c>
      <c r="AA53" s="1" t="s">
        <v>4</v>
      </c>
      <c r="AB53" s="1" t="s">
        <v>3</v>
      </c>
    </row>
    <row r="54" spans="1:28" x14ac:dyDescent="0.4">
      <c r="A54" s="2">
        <v>0</v>
      </c>
      <c r="B54" s="3">
        <v>0</v>
      </c>
      <c r="C54" s="3">
        <v>6.25E-2</v>
      </c>
      <c r="D54" s="3">
        <v>1</v>
      </c>
      <c r="E54" s="2">
        <v>22.9</v>
      </c>
      <c r="F54" s="2">
        <v>51.676540899392791</v>
      </c>
      <c r="G54" s="2">
        <v>0.223</v>
      </c>
      <c r="H54" s="2">
        <v>0</v>
      </c>
      <c r="I54" s="3">
        <v>0</v>
      </c>
      <c r="J54" s="3">
        <v>6.25E-2</v>
      </c>
      <c r="K54" s="3">
        <v>1</v>
      </c>
      <c r="L54" s="2">
        <v>22.9</v>
      </c>
      <c r="M54" s="2">
        <v>51.676540899392791</v>
      </c>
      <c r="N54" s="2">
        <v>0.223</v>
      </c>
      <c r="O54" s="2">
        <v>0</v>
      </c>
      <c r="P54" s="3">
        <v>5.5555555555555469E-2</v>
      </c>
      <c r="Q54" s="3">
        <v>0</v>
      </c>
      <c r="R54" s="3">
        <v>1</v>
      </c>
      <c r="S54" s="2">
        <v>23.049999999999997</v>
      </c>
      <c r="T54" s="2">
        <v>50.402927584009944</v>
      </c>
      <c r="U54" s="2">
        <v>0.223</v>
      </c>
      <c r="V54" s="2">
        <v>0</v>
      </c>
      <c r="W54" s="3">
        <v>0</v>
      </c>
      <c r="X54" s="3">
        <v>0.8125</v>
      </c>
      <c r="Y54" s="3">
        <v>0</v>
      </c>
      <c r="Z54" s="2">
        <v>24.7</v>
      </c>
      <c r="AA54" s="2">
        <v>43.094309507026622</v>
      </c>
      <c r="AB54" s="2">
        <v>0.223</v>
      </c>
    </row>
    <row r="55" spans="1:28" ht="15" x14ac:dyDescent="0.4">
      <c r="A55" s="2">
        <v>1</v>
      </c>
      <c r="B55" s="3">
        <v>0.66315789473684206</v>
      </c>
      <c r="C55" s="3">
        <v>0</v>
      </c>
      <c r="D55" s="3">
        <v>0</v>
      </c>
      <c r="E55" s="2">
        <v>22.049999999999997</v>
      </c>
      <c r="F55" s="2">
        <v>33.886975591949039</v>
      </c>
      <c r="G55" s="1" t="s">
        <v>1</v>
      </c>
      <c r="H55" s="2">
        <v>1</v>
      </c>
      <c r="I55" s="3">
        <v>0</v>
      </c>
      <c r="J55" s="3">
        <v>0</v>
      </c>
      <c r="K55" s="3">
        <v>0.85135135135135143</v>
      </c>
      <c r="L55" s="2">
        <v>22.05</v>
      </c>
      <c r="M55" s="2">
        <v>50.880521774970717</v>
      </c>
      <c r="N55" s="1" t="s">
        <v>1</v>
      </c>
      <c r="O55" s="2">
        <v>1</v>
      </c>
      <c r="P55" s="3">
        <v>0.66315789473684206</v>
      </c>
      <c r="Q55" s="3">
        <v>0</v>
      </c>
      <c r="R55" s="3">
        <v>0</v>
      </c>
      <c r="S55" s="2">
        <v>22.049999999999997</v>
      </c>
      <c r="T55" s="2">
        <v>33.886975591949039</v>
      </c>
      <c r="U55" s="1" t="s">
        <v>1</v>
      </c>
      <c r="V55" s="2">
        <v>1</v>
      </c>
      <c r="W55" s="3">
        <v>0.66315789473684206</v>
      </c>
      <c r="X55" s="3">
        <v>0</v>
      </c>
      <c r="Y55" s="3">
        <v>0</v>
      </c>
      <c r="Z55" s="2">
        <v>22.049999999999997</v>
      </c>
      <c r="AA55" s="2">
        <v>33.886975591949039</v>
      </c>
      <c r="AB55" s="1" t="s">
        <v>1</v>
      </c>
    </row>
    <row r="56" spans="1:28" x14ac:dyDescent="0.4">
      <c r="A56" s="2">
        <v>2</v>
      </c>
      <c r="B56" s="3">
        <v>0.56707889287048885</v>
      </c>
      <c r="C56" s="3">
        <v>0</v>
      </c>
      <c r="D56" s="3">
        <v>0.21879175295505937</v>
      </c>
      <c r="E56" s="2">
        <v>24.251275051773032</v>
      </c>
      <c r="F56" s="2">
        <v>14.940999999999995</v>
      </c>
      <c r="G56" s="2">
        <v>0.36719414830546282</v>
      </c>
      <c r="H56" s="2">
        <v>2</v>
      </c>
      <c r="I56" s="3">
        <v>0</v>
      </c>
      <c r="J56" s="3">
        <v>8.2352941176470629E-2</v>
      </c>
      <c r="K56" s="3">
        <v>1</v>
      </c>
      <c r="L56" s="2">
        <v>25.28</v>
      </c>
      <c r="M56" s="2">
        <v>41.427602661435984</v>
      </c>
      <c r="N56" s="2">
        <v>0.27431781045751641</v>
      </c>
      <c r="O56" s="2">
        <v>2</v>
      </c>
      <c r="P56" s="3">
        <v>0.56707889287048874</v>
      </c>
      <c r="Q56" s="3">
        <v>0</v>
      </c>
      <c r="R56" s="3">
        <v>0.21879175295505951</v>
      </c>
      <c r="S56" s="2">
        <v>24.251275051773032</v>
      </c>
      <c r="T56" s="2">
        <v>14.941000000000001</v>
      </c>
      <c r="U56" s="2">
        <v>0.33318271039696606</v>
      </c>
      <c r="V56" s="2">
        <v>2</v>
      </c>
      <c r="W56" s="3">
        <v>0.58600619277533117</v>
      </c>
      <c r="X56" s="3">
        <v>0.13328719630992392</v>
      </c>
      <c r="Y56" s="3">
        <v>0</v>
      </c>
      <c r="Z56" s="2">
        <v>25.026352934907479</v>
      </c>
      <c r="AA56" s="2">
        <v>14.940999999999992</v>
      </c>
      <c r="AB56" s="2">
        <v>0.35734328142765825</v>
      </c>
    </row>
    <row r="57" spans="1:28" ht="15" x14ac:dyDescent="0.4">
      <c r="A57" s="2">
        <v>3</v>
      </c>
      <c r="B57" s="3">
        <v>4.4444444444444398E-2</v>
      </c>
      <c r="C57" s="3">
        <v>1</v>
      </c>
      <c r="D57" s="3">
        <v>0</v>
      </c>
      <c r="E57" s="2">
        <v>28.479999999999997</v>
      </c>
      <c r="F57" s="2">
        <v>45.544562392252125</v>
      </c>
      <c r="G57" s="1" t="s">
        <v>2</v>
      </c>
      <c r="H57" s="2">
        <v>3</v>
      </c>
      <c r="I57" s="3">
        <v>0</v>
      </c>
      <c r="J57" s="3">
        <v>1</v>
      </c>
      <c r="K57" s="3">
        <v>6.6666666666666652E-2</v>
      </c>
      <c r="L57" s="2">
        <v>28.48</v>
      </c>
      <c r="M57" s="2">
        <v>46.59943670055705</v>
      </c>
      <c r="N57" s="1" t="s">
        <v>2</v>
      </c>
      <c r="O57" s="2">
        <v>3</v>
      </c>
      <c r="P57" s="3">
        <v>0.87777777777777777</v>
      </c>
      <c r="Q57" s="3">
        <v>0</v>
      </c>
      <c r="R57" s="3">
        <v>0</v>
      </c>
      <c r="S57" s="2">
        <v>29.229999999999997</v>
      </c>
      <c r="T57" s="2">
        <v>34.816669230908154</v>
      </c>
      <c r="U57" s="1" t="s">
        <v>2</v>
      </c>
      <c r="V57" s="2">
        <v>3</v>
      </c>
      <c r="W57" s="3">
        <v>4.4444444444444398E-2</v>
      </c>
      <c r="X57" s="3">
        <v>1</v>
      </c>
      <c r="Y57" s="3">
        <v>0</v>
      </c>
      <c r="Z57" s="2">
        <v>28.479999999999997</v>
      </c>
      <c r="AA57" s="2">
        <v>45.544562392252125</v>
      </c>
      <c r="AB57" s="1" t="s">
        <v>2</v>
      </c>
    </row>
    <row r="58" spans="1:28" x14ac:dyDescent="0.4">
      <c r="A58" s="2">
        <v>4</v>
      </c>
      <c r="B58" s="3">
        <v>1</v>
      </c>
      <c r="C58" s="3">
        <v>0</v>
      </c>
      <c r="D58" s="3">
        <v>0.39999999999999991</v>
      </c>
      <c r="E58" s="2">
        <v>30.119999999999997</v>
      </c>
      <c r="F58" s="2">
        <v>36.989510534476899</v>
      </c>
      <c r="G58" s="2">
        <v>0.5635897147104949</v>
      </c>
      <c r="H58" s="2">
        <v>4</v>
      </c>
      <c r="I58" s="3">
        <v>0</v>
      </c>
      <c r="J58" s="3">
        <v>0.30000000000000004</v>
      </c>
      <c r="K58" s="3">
        <v>1</v>
      </c>
      <c r="L58" s="2">
        <v>32.160000000000004</v>
      </c>
      <c r="M58" s="2">
        <v>49.960989259339527</v>
      </c>
      <c r="N58" s="2">
        <v>0.47928434671720888</v>
      </c>
      <c r="O58" s="2">
        <v>4</v>
      </c>
      <c r="P58" s="3">
        <v>1</v>
      </c>
      <c r="Q58" s="3">
        <v>0</v>
      </c>
      <c r="R58" s="3">
        <v>0.39999999999999991</v>
      </c>
      <c r="S58" s="2">
        <v>30.119999999999997</v>
      </c>
      <c r="T58" s="2">
        <v>36.989510534476899</v>
      </c>
      <c r="U58" s="2">
        <v>0.50250565179765805</v>
      </c>
      <c r="V58" s="2">
        <v>4</v>
      </c>
      <c r="W58" s="3">
        <v>1</v>
      </c>
      <c r="X58" s="3">
        <v>0.30000000000000004</v>
      </c>
      <c r="Y58" s="3">
        <v>0</v>
      </c>
      <c r="Z58" s="2">
        <v>30.360000000000003</v>
      </c>
      <c r="AA58" s="2">
        <v>38.626282960185861</v>
      </c>
      <c r="AB58" s="2">
        <v>0.45410443439654075</v>
      </c>
    </row>
    <row r="59" spans="1:28" x14ac:dyDescent="0.4">
      <c r="A59" s="2">
        <v>5</v>
      </c>
      <c r="B59" s="3">
        <v>0.68888888888888888</v>
      </c>
      <c r="C59" s="3">
        <v>0</v>
      </c>
      <c r="D59" s="3">
        <v>0</v>
      </c>
      <c r="E59" s="2">
        <v>22.32</v>
      </c>
      <c r="F59" s="2">
        <v>13.871332562907304</v>
      </c>
      <c r="G59" s="13">
        <v>123</v>
      </c>
      <c r="H59" s="2">
        <v>5</v>
      </c>
      <c r="I59" s="3">
        <v>0</v>
      </c>
      <c r="J59" s="3">
        <v>0.82666666666666677</v>
      </c>
      <c r="K59" s="3">
        <v>0</v>
      </c>
      <c r="L59" s="2">
        <v>23.560000000000002</v>
      </c>
      <c r="M59" s="2">
        <v>33.193046616696449</v>
      </c>
      <c r="N59" s="13">
        <v>23</v>
      </c>
      <c r="O59" s="2">
        <v>5</v>
      </c>
      <c r="P59" s="3">
        <v>0.68888888888888888</v>
      </c>
      <c r="Q59" s="3">
        <v>0</v>
      </c>
      <c r="R59" s="3">
        <v>0</v>
      </c>
      <c r="S59" s="2">
        <v>22.32</v>
      </c>
      <c r="T59" s="2">
        <v>13.871332562907304</v>
      </c>
      <c r="U59" s="13">
        <v>13</v>
      </c>
      <c r="V59" s="2">
        <v>5</v>
      </c>
      <c r="W59" s="3">
        <v>0.68888888888888888</v>
      </c>
      <c r="X59" s="3">
        <v>0</v>
      </c>
      <c r="Y59" s="3">
        <v>0</v>
      </c>
      <c r="Z59" s="2">
        <v>22.32</v>
      </c>
      <c r="AA59" s="2">
        <v>13.871332562907304</v>
      </c>
      <c r="AB59" s="13" t="s">
        <v>6</v>
      </c>
    </row>
    <row r="60" spans="1:28" x14ac:dyDescent="0.4">
      <c r="A60" s="2">
        <v>6</v>
      </c>
      <c r="B60" s="3">
        <v>0</v>
      </c>
      <c r="C60" s="3">
        <v>0</v>
      </c>
      <c r="D60" s="3">
        <v>0</v>
      </c>
      <c r="E60" s="2">
        <v>0</v>
      </c>
      <c r="F60" s="2">
        <v>0</v>
      </c>
      <c r="G60" s="14"/>
      <c r="H60" s="2">
        <v>6</v>
      </c>
      <c r="I60" s="3">
        <v>0</v>
      </c>
      <c r="J60" s="3">
        <v>0</v>
      </c>
      <c r="K60" s="3">
        <v>0</v>
      </c>
      <c r="L60" s="2">
        <v>0</v>
      </c>
      <c r="M60" s="2">
        <v>0</v>
      </c>
      <c r="N60" s="14"/>
      <c r="O60" s="2">
        <v>6</v>
      </c>
      <c r="P60" s="3">
        <v>0</v>
      </c>
      <c r="Q60" s="3">
        <v>0</v>
      </c>
      <c r="R60" s="3">
        <v>0</v>
      </c>
      <c r="S60" s="2">
        <v>0</v>
      </c>
      <c r="T60" s="2">
        <v>0</v>
      </c>
      <c r="U60" s="14"/>
      <c r="V60" s="2">
        <v>6</v>
      </c>
      <c r="W60" s="3">
        <v>0</v>
      </c>
      <c r="X60" s="3">
        <v>0</v>
      </c>
      <c r="Y60" s="3">
        <v>0</v>
      </c>
      <c r="Z60" s="2">
        <v>0</v>
      </c>
      <c r="AA60" s="2">
        <v>0</v>
      </c>
      <c r="AB60" s="14"/>
    </row>
    <row r="61" spans="1:28" x14ac:dyDescent="0.4">
      <c r="A61" s="2">
        <v>7</v>
      </c>
      <c r="B61" s="3">
        <v>0</v>
      </c>
      <c r="C61" s="3">
        <v>1</v>
      </c>
      <c r="D61" s="3">
        <v>0.46153846153846168</v>
      </c>
      <c r="E61" s="2">
        <v>41.7</v>
      </c>
      <c r="F61" s="2">
        <v>67.947295015616476</v>
      </c>
      <c r="G61" s="14"/>
      <c r="H61" s="2">
        <v>7</v>
      </c>
      <c r="I61" s="3">
        <v>0</v>
      </c>
      <c r="J61" s="3">
        <v>1</v>
      </c>
      <c r="K61" s="3">
        <v>0.46153846153846168</v>
      </c>
      <c r="L61" s="2">
        <v>41.7</v>
      </c>
      <c r="M61" s="2">
        <v>67.947295015616476</v>
      </c>
      <c r="N61" s="14"/>
      <c r="O61" s="2">
        <v>7</v>
      </c>
      <c r="P61" s="3">
        <v>0.45454545454545459</v>
      </c>
      <c r="Q61" s="3">
        <v>0</v>
      </c>
      <c r="R61" s="3">
        <v>1</v>
      </c>
      <c r="S61" s="2">
        <v>44.05</v>
      </c>
      <c r="T61" s="2">
        <v>74.685719336544125</v>
      </c>
      <c r="U61" s="14"/>
      <c r="V61" s="2">
        <v>7</v>
      </c>
      <c r="W61" s="3">
        <v>0.27272727272727271</v>
      </c>
      <c r="X61" s="3">
        <v>1</v>
      </c>
      <c r="Y61" s="3">
        <v>0</v>
      </c>
      <c r="Z61" s="2">
        <v>42.599999999999994</v>
      </c>
      <c r="AA61" s="2">
        <v>54.111277490378171</v>
      </c>
      <c r="AB61" s="14"/>
    </row>
    <row r="62" spans="1:28" x14ac:dyDescent="0.4">
      <c r="A62" s="2">
        <v>8</v>
      </c>
      <c r="B62" s="3">
        <v>0</v>
      </c>
      <c r="C62" s="3">
        <v>0</v>
      </c>
      <c r="D62" s="3">
        <v>0</v>
      </c>
      <c r="E62" s="2">
        <v>0</v>
      </c>
      <c r="F62" s="2">
        <v>0</v>
      </c>
      <c r="G62" s="14"/>
      <c r="H62" s="2">
        <v>8</v>
      </c>
      <c r="I62" s="3">
        <v>0</v>
      </c>
      <c r="J62" s="3">
        <v>0</v>
      </c>
      <c r="K62" s="3">
        <v>0</v>
      </c>
      <c r="L62" s="2">
        <v>0</v>
      </c>
      <c r="M62" s="2">
        <v>0</v>
      </c>
      <c r="N62" s="14"/>
      <c r="O62" s="2">
        <v>8</v>
      </c>
      <c r="P62" s="3">
        <v>0</v>
      </c>
      <c r="Q62" s="3">
        <v>0</v>
      </c>
      <c r="R62" s="3">
        <v>0</v>
      </c>
      <c r="S62" s="2">
        <v>0</v>
      </c>
      <c r="T62" s="2">
        <v>0</v>
      </c>
      <c r="U62" s="14"/>
      <c r="V62" s="2">
        <v>8</v>
      </c>
      <c r="W62" s="3">
        <v>0</v>
      </c>
      <c r="X62" s="3">
        <v>0</v>
      </c>
      <c r="Y62" s="3">
        <v>0</v>
      </c>
      <c r="Z62" s="2">
        <v>0</v>
      </c>
      <c r="AA62" s="2">
        <v>0</v>
      </c>
      <c r="AB62" s="14"/>
    </row>
    <row r="63" spans="1:28" x14ac:dyDescent="0.4">
      <c r="A63" s="2">
        <v>9</v>
      </c>
      <c r="B63" s="3">
        <v>0</v>
      </c>
      <c r="C63" s="3">
        <v>1</v>
      </c>
      <c r="D63" s="3">
        <v>0.88888888888888884</v>
      </c>
      <c r="E63" s="2">
        <v>54</v>
      </c>
      <c r="F63" s="2">
        <v>90.696038335531199</v>
      </c>
      <c r="G63" s="14"/>
      <c r="H63" s="2">
        <v>9</v>
      </c>
      <c r="I63" s="3">
        <v>0</v>
      </c>
      <c r="J63" s="3">
        <v>1</v>
      </c>
      <c r="K63" s="3">
        <v>0.88888888888888884</v>
      </c>
      <c r="L63" s="2">
        <v>54</v>
      </c>
      <c r="M63" s="2">
        <v>90.696038335531199</v>
      </c>
      <c r="N63" s="14"/>
      <c r="O63" s="2">
        <v>9</v>
      </c>
      <c r="P63" s="3">
        <v>0.50000000000000011</v>
      </c>
      <c r="Q63" s="3">
        <v>0</v>
      </c>
      <c r="R63" s="3">
        <v>1</v>
      </c>
      <c r="S63" s="2">
        <v>55.600000000000009</v>
      </c>
      <c r="T63" s="2">
        <v>97.617594464264926</v>
      </c>
      <c r="U63" s="14"/>
      <c r="V63" s="2">
        <v>9</v>
      </c>
      <c r="W63" s="3">
        <v>0.80000000000000016</v>
      </c>
      <c r="X63" s="3">
        <v>1</v>
      </c>
      <c r="Y63" s="3">
        <v>0</v>
      </c>
      <c r="Z63" s="2">
        <v>55.600000000000009</v>
      </c>
      <c r="AA63" s="2">
        <v>82.50450407252977</v>
      </c>
      <c r="AB63" s="14"/>
    </row>
    <row r="64" spans="1:28" x14ac:dyDescent="0.4">
      <c r="A64" s="2">
        <v>10</v>
      </c>
      <c r="B64" s="3">
        <v>0</v>
      </c>
      <c r="C64" s="3">
        <v>1</v>
      </c>
      <c r="D64" s="3">
        <v>0.58571428571428574</v>
      </c>
      <c r="E64" s="2">
        <v>37.590000000000003</v>
      </c>
      <c r="F64" s="2">
        <v>46.820098978718491</v>
      </c>
      <c r="G64" s="14"/>
      <c r="H64" s="2">
        <v>10</v>
      </c>
      <c r="I64" s="3">
        <v>0</v>
      </c>
      <c r="J64" s="3">
        <v>1</v>
      </c>
      <c r="K64" s="3">
        <v>0.58571428571428574</v>
      </c>
      <c r="L64" s="2">
        <v>37.590000000000003</v>
      </c>
      <c r="M64" s="2">
        <v>46.820098978718491</v>
      </c>
      <c r="N64" s="14"/>
      <c r="O64" s="2">
        <v>10</v>
      </c>
      <c r="P64" s="3">
        <v>0.32631578947368423</v>
      </c>
      <c r="Q64" s="3">
        <v>0</v>
      </c>
      <c r="R64" s="3">
        <v>1</v>
      </c>
      <c r="S64" s="2">
        <v>40.94</v>
      </c>
      <c r="T64" s="2">
        <v>53.994759669616023</v>
      </c>
      <c r="U64" s="14"/>
      <c r="V64" s="2">
        <v>10</v>
      </c>
      <c r="W64" s="3">
        <v>0.43157894736842106</v>
      </c>
      <c r="X64" s="3">
        <v>1</v>
      </c>
      <c r="Y64" s="3">
        <v>0</v>
      </c>
      <c r="Z64" s="2">
        <v>39.64</v>
      </c>
      <c r="AA64" s="2">
        <v>28.180258573388883</v>
      </c>
      <c r="AB64" s="14"/>
    </row>
    <row r="65" spans="1:28" x14ac:dyDescent="0.4">
      <c r="A65" s="2">
        <v>11</v>
      </c>
      <c r="B65" s="3">
        <v>0</v>
      </c>
      <c r="C65" s="3">
        <v>1</v>
      </c>
      <c r="D65" s="3">
        <v>0.25555555555555554</v>
      </c>
      <c r="E65" s="2">
        <v>29.740000000000002</v>
      </c>
      <c r="F65" s="2">
        <v>64.07030087616387</v>
      </c>
      <c r="G65" s="14"/>
      <c r="H65" s="2">
        <v>11</v>
      </c>
      <c r="I65" s="3">
        <v>0</v>
      </c>
      <c r="J65" s="3">
        <v>1</v>
      </c>
      <c r="K65" s="3">
        <v>0.25555555555555554</v>
      </c>
      <c r="L65" s="2">
        <v>29.740000000000002</v>
      </c>
      <c r="M65" s="2">
        <v>64.07030087616387</v>
      </c>
      <c r="N65" s="14"/>
      <c r="O65" s="2">
        <v>11</v>
      </c>
      <c r="P65" s="3">
        <v>0</v>
      </c>
      <c r="Q65" s="3">
        <v>0</v>
      </c>
      <c r="R65" s="3">
        <v>0.92222222222222228</v>
      </c>
      <c r="S65" s="2">
        <v>31.540000000000006</v>
      </c>
      <c r="T65" s="2">
        <v>67.10015595216008</v>
      </c>
      <c r="U65" s="14"/>
      <c r="V65" s="2">
        <v>11</v>
      </c>
      <c r="W65" s="3">
        <v>0.25555555555555554</v>
      </c>
      <c r="X65" s="3">
        <v>1</v>
      </c>
      <c r="Y65" s="3">
        <v>0</v>
      </c>
      <c r="Z65" s="2">
        <v>32.269999999999996</v>
      </c>
      <c r="AA65" s="2">
        <v>60.610105729453856</v>
      </c>
      <c r="AB65" s="14"/>
    </row>
    <row r="66" spans="1:28" x14ac:dyDescent="0.4">
      <c r="A66" s="2">
        <v>12</v>
      </c>
      <c r="B66" s="3">
        <v>0.94444444444444453</v>
      </c>
      <c r="C66" s="3">
        <v>0</v>
      </c>
      <c r="D66" s="3">
        <v>0</v>
      </c>
      <c r="E66" s="2">
        <v>30.6</v>
      </c>
      <c r="F66" s="2">
        <v>36.298435912041896</v>
      </c>
      <c r="G66" s="14"/>
      <c r="H66" s="2">
        <v>12</v>
      </c>
      <c r="I66" s="3">
        <v>0</v>
      </c>
      <c r="J66" s="3">
        <v>1</v>
      </c>
      <c r="K66" s="3">
        <v>0.16666666666666674</v>
      </c>
      <c r="L66" s="2">
        <v>32.300000000000004</v>
      </c>
      <c r="M66" s="2">
        <v>54.374364750869255</v>
      </c>
      <c r="N66" s="14"/>
      <c r="O66" s="2">
        <v>12</v>
      </c>
      <c r="P66" s="3">
        <v>0.94444444444444453</v>
      </c>
      <c r="Q66" s="3">
        <v>0</v>
      </c>
      <c r="R66" s="3">
        <v>0</v>
      </c>
      <c r="S66" s="2">
        <v>30.6</v>
      </c>
      <c r="T66" s="2">
        <v>36.298435912041896</v>
      </c>
      <c r="U66" s="14"/>
      <c r="V66" s="2">
        <v>12</v>
      </c>
      <c r="W66" s="3">
        <v>0.94444444444444453</v>
      </c>
      <c r="X66" s="3">
        <v>0</v>
      </c>
      <c r="Y66" s="3">
        <v>0</v>
      </c>
      <c r="Z66" s="2">
        <v>30.6</v>
      </c>
      <c r="AA66" s="2">
        <v>36.298435912041896</v>
      </c>
      <c r="AB66" s="14"/>
    </row>
    <row r="67" spans="1:28" x14ac:dyDescent="0.4">
      <c r="A67" s="2">
        <v>13</v>
      </c>
      <c r="B67" s="3">
        <v>0.20000000000000007</v>
      </c>
      <c r="C67" s="3">
        <v>0</v>
      </c>
      <c r="D67" s="3">
        <v>1</v>
      </c>
      <c r="E67" s="2">
        <v>27.240000000000002</v>
      </c>
      <c r="F67" s="2">
        <v>48.613040525929499</v>
      </c>
      <c r="G67" s="14"/>
      <c r="H67" s="2">
        <v>13</v>
      </c>
      <c r="I67" s="3">
        <v>0</v>
      </c>
      <c r="J67" s="3">
        <v>0.23750000000000004</v>
      </c>
      <c r="K67" s="3">
        <v>1</v>
      </c>
      <c r="L67" s="2">
        <v>27.620000000000005</v>
      </c>
      <c r="M67" s="2">
        <v>52.230880978567406</v>
      </c>
      <c r="N67" s="14"/>
      <c r="O67" s="2">
        <v>13</v>
      </c>
      <c r="P67" s="3">
        <v>0.20000000000000007</v>
      </c>
      <c r="Q67" s="3">
        <v>0</v>
      </c>
      <c r="R67" s="3">
        <v>1</v>
      </c>
      <c r="S67" s="2">
        <v>27.240000000000002</v>
      </c>
      <c r="T67" s="2">
        <v>48.613040525929499</v>
      </c>
      <c r="U67" s="14"/>
      <c r="V67" s="2">
        <v>13</v>
      </c>
      <c r="W67" s="3">
        <v>0.83157894736842108</v>
      </c>
      <c r="X67" s="3">
        <v>0</v>
      </c>
      <c r="Y67" s="3">
        <v>0</v>
      </c>
      <c r="Z67" s="2">
        <v>28.439999999999998</v>
      </c>
      <c r="AA67" s="2">
        <v>27.507366501801716</v>
      </c>
      <c r="AB67" s="14"/>
    </row>
    <row r="68" spans="1:28" x14ac:dyDescent="0.4">
      <c r="A68" s="2">
        <v>14</v>
      </c>
      <c r="B68" s="3">
        <v>0.15789473684210531</v>
      </c>
      <c r="C68" s="3">
        <v>0</v>
      </c>
      <c r="D68" s="3">
        <v>1</v>
      </c>
      <c r="E68" s="2">
        <v>27.6</v>
      </c>
      <c r="F68" s="2">
        <v>51.506776482412491</v>
      </c>
      <c r="G68" s="14"/>
      <c r="H68" s="2">
        <v>14</v>
      </c>
      <c r="I68" s="3">
        <v>0</v>
      </c>
      <c r="J68" s="3">
        <v>0.17647058823529416</v>
      </c>
      <c r="K68" s="3">
        <v>1</v>
      </c>
      <c r="L68" s="2">
        <v>27.75</v>
      </c>
      <c r="M68" s="2">
        <v>56.384109936816188</v>
      </c>
      <c r="N68" s="14"/>
      <c r="O68" s="2">
        <v>14</v>
      </c>
      <c r="P68" s="3">
        <v>0.15789473684210531</v>
      </c>
      <c r="Q68" s="3">
        <v>0</v>
      </c>
      <c r="R68" s="3">
        <v>1</v>
      </c>
      <c r="S68" s="2">
        <v>27.6</v>
      </c>
      <c r="T68" s="2">
        <v>51.506776482412491</v>
      </c>
      <c r="U68" s="14"/>
      <c r="V68" s="2">
        <v>14</v>
      </c>
      <c r="W68" s="3">
        <v>0.78947368421052633</v>
      </c>
      <c r="X68" s="3">
        <v>0</v>
      </c>
      <c r="Y68" s="3">
        <v>0</v>
      </c>
      <c r="Z68" s="2">
        <v>30</v>
      </c>
      <c r="AA68" s="2">
        <v>31.948071778695716</v>
      </c>
      <c r="AB68" s="14"/>
    </row>
    <row r="69" spans="1:28" x14ac:dyDescent="0.4">
      <c r="A69" s="2">
        <v>15</v>
      </c>
      <c r="B69" s="3">
        <v>0</v>
      </c>
      <c r="C69" s="3">
        <v>1</v>
      </c>
      <c r="D69" s="3">
        <v>0.58333333333333348</v>
      </c>
      <c r="E69" s="2">
        <v>44.8</v>
      </c>
      <c r="F69" s="2">
        <v>68.101987992899751</v>
      </c>
      <c r="G69" s="14"/>
      <c r="H69" s="2">
        <v>15</v>
      </c>
      <c r="I69" s="3">
        <v>0</v>
      </c>
      <c r="J69" s="3">
        <v>1</v>
      </c>
      <c r="K69" s="3">
        <v>0.58333333333333348</v>
      </c>
      <c r="L69" s="2">
        <v>44.8</v>
      </c>
      <c r="M69" s="2">
        <v>68.101987992899751</v>
      </c>
      <c r="N69" s="14"/>
      <c r="O69" s="2">
        <v>15</v>
      </c>
      <c r="P69" s="3">
        <v>0.7222222222222221</v>
      </c>
      <c r="Q69" s="3">
        <v>0</v>
      </c>
      <c r="R69" s="3">
        <v>1</v>
      </c>
      <c r="S69" s="2">
        <v>48.8</v>
      </c>
      <c r="T69" s="2">
        <v>70.115881928336663</v>
      </c>
      <c r="U69" s="14"/>
      <c r="V69" s="2">
        <v>15</v>
      </c>
      <c r="W69" s="3">
        <v>0.38888888888888884</v>
      </c>
      <c r="X69" s="3">
        <v>1</v>
      </c>
      <c r="Y69" s="3">
        <v>0</v>
      </c>
      <c r="Z69" s="2">
        <v>45.499999999999993</v>
      </c>
      <c r="AA69" s="2">
        <v>51.555471026267504</v>
      </c>
      <c r="AB69" s="14"/>
    </row>
    <row r="70" spans="1:28" x14ac:dyDescent="0.4">
      <c r="A70" s="2">
        <v>16</v>
      </c>
      <c r="B70" s="3">
        <v>0.84444444444444444</v>
      </c>
      <c r="C70" s="3">
        <v>0</v>
      </c>
      <c r="D70" s="3">
        <v>0</v>
      </c>
      <c r="E70" s="2">
        <v>26.599999999999998</v>
      </c>
      <c r="F70" s="2">
        <v>25.998502953556031</v>
      </c>
      <c r="G70" s="14"/>
      <c r="H70" s="2">
        <v>16</v>
      </c>
      <c r="I70" s="3">
        <v>0</v>
      </c>
      <c r="J70" s="3">
        <v>1</v>
      </c>
      <c r="K70" s="3">
        <v>0.13750000000000007</v>
      </c>
      <c r="L70" s="2">
        <v>26.82</v>
      </c>
      <c r="M70" s="2">
        <v>48.614257185498658</v>
      </c>
      <c r="N70" s="14"/>
      <c r="O70" s="2">
        <v>16</v>
      </c>
      <c r="P70" s="3">
        <v>0.84444444444444444</v>
      </c>
      <c r="Q70" s="3">
        <v>0</v>
      </c>
      <c r="R70" s="3">
        <v>0</v>
      </c>
      <c r="S70" s="2">
        <v>26.599999999999998</v>
      </c>
      <c r="T70" s="2">
        <v>25.998502953556031</v>
      </c>
      <c r="U70" s="14"/>
      <c r="V70" s="2">
        <v>16</v>
      </c>
      <c r="W70" s="3">
        <v>0.84444444444444444</v>
      </c>
      <c r="X70" s="3">
        <v>0</v>
      </c>
      <c r="Y70" s="3">
        <v>0</v>
      </c>
      <c r="Z70" s="2">
        <v>26.599999999999998</v>
      </c>
      <c r="AA70" s="2">
        <v>25.998502953556031</v>
      </c>
      <c r="AB70" s="14"/>
    </row>
    <row r="71" spans="1:28" x14ac:dyDescent="0.4">
      <c r="A71" s="2">
        <v>17</v>
      </c>
      <c r="B71" s="3">
        <v>0</v>
      </c>
      <c r="C71" s="3">
        <v>0</v>
      </c>
      <c r="D71" s="3">
        <v>0</v>
      </c>
      <c r="E71" s="2">
        <v>0</v>
      </c>
      <c r="F71" s="2">
        <v>0</v>
      </c>
      <c r="G71" s="14"/>
      <c r="H71" s="2">
        <v>17</v>
      </c>
      <c r="I71" s="3">
        <v>0</v>
      </c>
      <c r="J71" s="3">
        <v>0</v>
      </c>
      <c r="K71" s="3">
        <v>0</v>
      </c>
      <c r="L71" s="2">
        <v>0</v>
      </c>
      <c r="M71" s="2">
        <v>0</v>
      </c>
      <c r="N71" s="14"/>
      <c r="O71" s="2">
        <v>17</v>
      </c>
      <c r="P71" s="3">
        <v>0</v>
      </c>
      <c r="Q71" s="3">
        <v>0</v>
      </c>
      <c r="R71" s="3">
        <v>0</v>
      </c>
      <c r="S71" s="2">
        <v>0</v>
      </c>
      <c r="T71" s="2">
        <v>0</v>
      </c>
      <c r="U71" s="14"/>
      <c r="V71" s="2">
        <v>17</v>
      </c>
      <c r="W71" s="3">
        <v>0</v>
      </c>
      <c r="X71" s="3">
        <v>0</v>
      </c>
      <c r="Y71" s="3">
        <v>0</v>
      </c>
      <c r="Z71" s="2">
        <v>0</v>
      </c>
      <c r="AA71" s="2">
        <v>0</v>
      </c>
      <c r="AB71" s="14"/>
    </row>
    <row r="72" spans="1:28" x14ac:dyDescent="0.4">
      <c r="A72" s="2">
        <v>18</v>
      </c>
      <c r="B72" s="3">
        <v>0.65217391304347838</v>
      </c>
      <c r="C72" s="3">
        <v>1</v>
      </c>
      <c r="D72" s="3">
        <v>0</v>
      </c>
      <c r="E72" s="2">
        <v>51.150000000000006</v>
      </c>
      <c r="F72" s="2">
        <v>79.146602478079359</v>
      </c>
      <c r="G72" s="14"/>
      <c r="H72" s="2">
        <v>18</v>
      </c>
      <c r="I72" s="3">
        <v>0</v>
      </c>
      <c r="J72" s="3">
        <v>1</v>
      </c>
      <c r="K72" s="3">
        <v>0.9375</v>
      </c>
      <c r="L72" s="2">
        <v>53.4</v>
      </c>
      <c r="M72" s="2">
        <v>83.056916474793695</v>
      </c>
      <c r="N72" s="14"/>
      <c r="O72" s="2">
        <v>18</v>
      </c>
      <c r="P72" s="3">
        <v>1</v>
      </c>
      <c r="Q72" s="3">
        <v>0</v>
      </c>
      <c r="R72" s="3">
        <v>0.3125</v>
      </c>
      <c r="S72" s="2">
        <v>52.55</v>
      </c>
      <c r="T72" s="2">
        <v>70.659920856111484</v>
      </c>
      <c r="U72" s="14"/>
      <c r="V72" s="2">
        <v>18</v>
      </c>
      <c r="W72" s="3">
        <v>0.65217391304347838</v>
      </c>
      <c r="X72" s="3">
        <v>1</v>
      </c>
      <c r="Y72" s="3">
        <v>0</v>
      </c>
      <c r="Z72" s="2">
        <v>51.150000000000006</v>
      </c>
      <c r="AA72" s="2">
        <v>79.146602478079359</v>
      </c>
      <c r="AB72" s="14"/>
    </row>
    <row r="73" spans="1:28" x14ac:dyDescent="0.4">
      <c r="A73" s="2">
        <v>19</v>
      </c>
      <c r="B73" s="3">
        <v>0</v>
      </c>
      <c r="C73" s="3">
        <v>0.78947368421052633</v>
      </c>
      <c r="D73" s="3">
        <v>1</v>
      </c>
      <c r="E73" s="2">
        <v>59.25</v>
      </c>
      <c r="F73" s="2">
        <v>95.089175695331789</v>
      </c>
      <c r="G73" s="14"/>
      <c r="H73" s="2">
        <v>19</v>
      </c>
      <c r="I73" s="3">
        <v>0</v>
      </c>
      <c r="J73" s="3">
        <v>0.78947368421052633</v>
      </c>
      <c r="K73" s="3">
        <v>1</v>
      </c>
      <c r="L73" s="2">
        <v>59.25</v>
      </c>
      <c r="M73" s="2">
        <v>95.089175695331789</v>
      </c>
      <c r="N73" s="14"/>
      <c r="O73" s="2">
        <v>19</v>
      </c>
      <c r="P73" s="3">
        <v>0.75</v>
      </c>
      <c r="Q73" s="3">
        <v>0</v>
      </c>
      <c r="R73" s="3">
        <v>1</v>
      </c>
      <c r="S73" s="2">
        <v>72</v>
      </c>
      <c r="T73" s="2">
        <v>83.901679321273178</v>
      </c>
      <c r="U73" s="14"/>
      <c r="V73" s="2">
        <v>19</v>
      </c>
      <c r="W73" s="3">
        <v>0.54999999999999993</v>
      </c>
      <c r="X73" s="3">
        <v>1</v>
      </c>
      <c r="Y73" s="3">
        <v>0</v>
      </c>
      <c r="Z73" s="2">
        <v>69.349999999999994</v>
      </c>
      <c r="AA73" s="2">
        <v>88.60371494191844</v>
      </c>
      <c r="AB73" s="14"/>
    </row>
    <row r="74" spans="1:28" x14ac:dyDescent="0.4">
      <c r="A74" s="2">
        <v>20</v>
      </c>
      <c r="B74" s="3">
        <v>0</v>
      </c>
      <c r="C74" s="3">
        <v>0</v>
      </c>
      <c r="D74" s="3">
        <v>0</v>
      </c>
      <c r="E74" s="2">
        <v>0</v>
      </c>
      <c r="F74" s="2">
        <v>0</v>
      </c>
      <c r="G74" s="14"/>
      <c r="H74" s="2">
        <v>20</v>
      </c>
      <c r="I74" s="3">
        <v>0</v>
      </c>
      <c r="J74" s="3">
        <v>0</v>
      </c>
      <c r="K74" s="3">
        <v>0</v>
      </c>
      <c r="L74" s="2">
        <v>0</v>
      </c>
      <c r="M74" s="2">
        <v>0</v>
      </c>
      <c r="N74" s="14"/>
      <c r="O74" s="2">
        <v>20</v>
      </c>
      <c r="P74" s="3">
        <v>0</v>
      </c>
      <c r="Q74" s="3">
        <v>0</v>
      </c>
      <c r="R74" s="3">
        <v>0</v>
      </c>
      <c r="S74" s="2">
        <v>0</v>
      </c>
      <c r="T74" s="2">
        <v>0</v>
      </c>
      <c r="U74" s="14"/>
      <c r="V74" s="2">
        <v>20</v>
      </c>
      <c r="W74" s="3">
        <v>0</v>
      </c>
      <c r="X74" s="3">
        <v>0</v>
      </c>
      <c r="Y74" s="3">
        <v>0</v>
      </c>
      <c r="Z74" s="2">
        <v>0</v>
      </c>
      <c r="AA74" s="2">
        <v>0</v>
      </c>
      <c r="AB74" s="14"/>
    </row>
    <row r="75" spans="1:28" x14ac:dyDescent="0.4">
      <c r="A75" s="2">
        <v>21</v>
      </c>
      <c r="B75" s="3">
        <v>8.5714285714285743E-2</v>
      </c>
      <c r="C75" s="3">
        <v>0</v>
      </c>
      <c r="D75" s="3">
        <v>1</v>
      </c>
      <c r="E75" s="2">
        <v>34.9</v>
      </c>
      <c r="F75" s="2">
        <v>76.643419561599814</v>
      </c>
      <c r="G75" s="14"/>
      <c r="H75" s="2">
        <v>21</v>
      </c>
      <c r="I75" s="3">
        <v>0</v>
      </c>
      <c r="J75" s="3">
        <v>9.473684210526323E-2</v>
      </c>
      <c r="K75" s="3">
        <v>1</v>
      </c>
      <c r="L75" s="2">
        <v>34.99</v>
      </c>
      <c r="M75" s="2">
        <v>80.039511625439701</v>
      </c>
      <c r="N75" s="14"/>
      <c r="O75" s="2">
        <v>21</v>
      </c>
      <c r="P75" s="3">
        <v>8.5714285714285743E-2</v>
      </c>
      <c r="Q75" s="3">
        <v>0</v>
      </c>
      <c r="R75" s="3">
        <v>1</v>
      </c>
      <c r="S75" s="2">
        <v>34.9</v>
      </c>
      <c r="T75" s="2">
        <v>76.643419561599814</v>
      </c>
      <c r="U75" s="14"/>
      <c r="V75" s="2">
        <v>21</v>
      </c>
      <c r="W75" s="3">
        <v>0.84761904761904772</v>
      </c>
      <c r="X75" s="3">
        <v>0</v>
      </c>
      <c r="Y75" s="3">
        <v>0</v>
      </c>
      <c r="Z75" s="2">
        <v>44.500000000000007</v>
      </c>
      <c r="AA75" s="2">
        <v>20.803866388103167</v>
      </c>
      <c r="AB75" s="14"/>
    </row>
    <row r="76" spans="1:28" x14ac:dyDescent="0.4">
      <c r="A76" s="2">
        <v>22</v>
      </c>
      <c r="B76" s="3">
        <v>0</v>
      </c>
      <c r="C76" s="3">
        <v>5.8823529411764719E-2</v>
      </c>
      <c r="D76" s="3">
        <v>1</v>
      </c>
      <c r="E76" s="2">
        <v>22.95</v>
      </c>
      <c r="F76" s="2">
        <v>41.096449201594119</v>
      </c>
      <c r="G76" s="14"/>
      <c r="H76" s="2">
        <v>22</v>
      </c>
      <c r="I76" s="3">
        <v>0</v>
      </c>
      <c r="J76" s="3">
        <v>5.8823529411764719E-2</v>
      </c>
      <c r="K76" s="3">
        <v>1</v>
      </c>
      <c r="L76" s="2">
        <v>22.95</v>
      </c>
      <c r="M76" s="2">
        <v>41.096449201594119</v>
      </c>
      <c r="N76" s="14"/>
      <c r="O76" s="2">
        <v>22</v>
      </c>
      <c r="P76" s="3">
        <v>4.5454545454545414E-2</v>
      </c>
      <c r="Q76" s="3">
        <v>0</v>
      </c>
      <c r="R76" s="3">
        <v>1</v>
      </c>
      <c r="S76" s="2">
        <v>23.4</v>
      </c>
      <c r="T76" s="2">
        <v>40.23950803686305</v>
      </c>
      <c r="U76" s="14"/>
      <c r="V76" s="2">
        <v>22</v>
      </c>
      <c r="W76" s="3">
        <v>0</v>
      </c>
      <c r="X76" s="3">
        <v>0.76470588235294112</v>
      </c>
      <c r="Y76" s="3">
        <v>0</v>
      </c>
      <c r="Z76" s="2">
        <v>25.349999999999998</v>
      </c>
      <c r="AA76" s="2">
        <v>38.84478637514124</v>
      </c>
      <c r="AB76" s="14"/>
    </row>
    <row r="77" spans="1:28" x14ac:dyDescent="0.4">
      <c r="A77" s="2">
        <v>23</v>
      </c>
      <c r="B77" s="3">
        <v>7.7777777777777724E-2</v>
      </c>
      <c r="C77" s="3">
        <v>0</v>
      </c>
      <c r="D77" s="3">
        <v>1</v>
      </c>
      <c r="E77" s="2">
        <v>24.189999999999998</v>
      </c>
      <c r="F77" s="2">
        <v>49.913125404639217</v>
      </c>
      <c r="G77" s="14"/>
      <c r="H77" s="2">
        <v>23</v>
      </c>
      <c r="I77" s="3">
        <v>0</v>
      </c>
      <c r="J77" s="3">
        <v>9.3333333333333379E-2</v>
      </c>
      <c r="K77" s="3">
        <v>1</v>
      </c>
      <c r="L77" s="2">
        <v>24.189999999999998</v>
      </c>
      <c r="M77" s="2">
        <v>51.028555803494022</v>
      </c>
      <c r="N77" s="14"/>
      <c r="O77" s="2">
        <v>23</v>
      </c>
      <c r="P77" s="3">
        <v>7.7777777777777724E-2</v>
      </c>
      <c r="Q77" s="3">
        <v>0</v>
      </c>
      <c r="R77" s="3">
        <v>1</v>
      </c>
      <c r="S77" s="2">
        <v>24.189999999999998</v>
      </c>
      <c r="T77" s="2">
        <v>49.913125404639217</v>
      </c>
      <c r="U77" s="14"/>
      <c r="V77" s="2">
        <v>23</v>
      </c>
      <c r="W77" s="3">
        <v>0.74444444444444446</v>
      </c>
      <c r="X77" s="3">
        <v>0</v>
      </c>
      <c r="Y77" s="3">
        <v>0</v>
      </c>
      <c r="Z77" s="2">
        <v>24.79</v>
      </c>
      <c r="AA77" s="2">
        <v>34.674076437403684</v>
      </c>
      <c r="AB77" s="14"/>
    </row>
    <row r="78" spans="1:28" ht="15" x14ac:dyDescent="0.4">
      <c r="A78" s="1" t="s">
        <v>5</v>
      </c>
      <c r="B78" s="3">
        <v>328.62409813617069</v>
      </c>
      <c r="C78" s="3">
        <v>305.25</v>
      </c>
      <c r="D78" s="3">
        <v>265.01717691560236</v>
      </c>
      <c r="E78" s="8">
        <f>SUM(E54:E77)</f>
        <v>662.43127505177313</v>
      </c>
      <c r="F78" s="4">
        <f>SUM(F54:F77)</f>
        <v>1038.851171395092</v>
      </c>
      <c r="G78" s="15"/>
      <c r="H78" s="1" t="s">
        <v>5</v>
      </c>
      <c r="I78" s="3">
        <v>0</v>
      </c>
      <c r="J78" s="3">
        <v>319.54999999999995</v>
      </c>
      <c r="K78" s="3">
        <v>351.98</v>
      </c>
      <c r="L78" s="8">
        <f>SUM(L54:L77)</f>
        <v>671.5300000000002</v>
      </c>
      <c r="M78" s="4">
        <f>SUM(M54:M77)</f>
        <v>1173.2880807637273</v>
      </c>
      <c r="N78" s="15"/>
      <c r="O78" s="1" t="s">
        <v>5</v>
      </c>
      <c r="P78" s="3">
        <v>446.21409813617066</v>
      </c>
      <c r="Q78" s="3">
        <v>0</v>
      </c>
      <c r="R78" s="3">
        <v>369.41717691560234</v>
      </c>
      <c r="S78" s="8">
        <f>SUM(S54:S77)</f>
        <v>691.03127505177304</v>
      </c>
      <c r="T78" s="4">
        <f>SUM(T54:T77)</f>
        <v>1032.1969359095997</v>
      </c>
      <c r="U78" s="15"/>
      <c r="V78" s="1" t="s">
        <v>5</v>
      </c>
      <c r="W78" s="3">
        <v>525.03141179291629</v>
      </c>
      <c r="X78" s="3">
        <v>349.74494114199115</v>
      </c>
      <c r="Y78" s="3">
        <v>0</v>
      </c>
      <c r="Z78" s="8">
        <f>SUM(Z54:Z77)</f>
        <v>699.3263529349075</v>
      </c>
      <c r="AA78" s="4">
        <f>SUM(AA54:AA77)</f>
        <v>850.75150367308026</v>
      </c>
      <c r="AB78" s="15"/>
    </row>
    <row r="79" spans="1:28" x14ac:dyDescent="0.4">
      <c r="B79" s="10" t="s">
        <v>24</v>
      </c>
      <c r="C79" s="11"/>
      <c r="D79" s="11"/>
      <c r="E79" s="11"/>
      <c r="F79" s="11"/>
      <c r="G79" s="12"/>
    </row>
    <row r="83" spans="9:9" x14ac:dyDescent="0.4">
      <c r="I83" s="4"/>
    </row>
  </sheetData>
  <mergeCells count="10">
    <mergeCell ref="G7:G26"/>
    <mergeCell ref="G59:G78"/>
    <mergeCell ref="G33:G52"/>
    <mergeCell ref="N33:N52"/>
    <mergeCell ref="N59:N78"/>
    <mergeCell ref="B79:G79"/>
    <mergeCell ref="U59:U78"/>
    <mergeCell ref="U33:U52"/>
    <mergeCell ref="AB33:AB52"/>
    <mergeCell ref="AB59:AB7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613F-E336-471A-B808-39AB9AC8FD13}">
  <dimension ref="A1:J10"/>
  <sheetViews>
    <sheetView topLeftCell="B1" zoomScale="190" zoomScaleNormal="190" workbookViewId="0">
      <selection activeCell="J12" sqref="J12"/>
    </sheetView>
  </sheetViews>
  <sheetFormatPr defaultRowHeight="13.9" x14ac:dyDescent="0.4"/>
  <cols>
    <col min="1" max="1" width="5.73046875" style="6" bestFit="1" customWidth="1"/>
    <col min="2" max="2" width="7.6640625" style="6" bestFit="1" customWidth="1"/>
    <col min="3" max="5" width="10.265625" style="6" bestFit="1" customWidth="1"/>
    <col min="6" max="6" width="1.796875" style="6" customWidth="1"/>
    <col min="7" max="7" width="3.73046875" style="6" bestFit="1" customWidth="1"/>
    <col min="8" max="8" width="17.73046875" style="6" customWidth="1"/>
    <col min="9" max="9" width="16.73046875" style="6" bestFit="1" customWidth="1"/>
    <col min="10" max="10" width="16.33203125" style="6" bestFit="1" customWidth="1"/>
    <col min="11" max="16384" width="9.06640625" style="6"/>
  </cols>
  <sheetData>
    <row r="1" spans="1:10" s="3" customFormat="1" x14ac:dyDescent="0.4">
      <c r="A1" s="3" t="s">
        <v>3</v>
      </c>
      <c r="B1" s="5" t="s">
        <v>7</v>
      </c>
      <c r="C1" s="5" t="s">
        <v>8</v>
      </c>
      <c r="D1" s="5" t="s">
        <v>9</v>
      </c>
      <c r="E1" s="5" t="s">
        <v>10</v>
      </c>
      <c r="F1" s="5"/>
      <c r="H1" s="5" t="s">
        <v>12</v>
      </c>
      <c r="I1" s="5" t="s">
        <v>14</v>
      </c>
      <c r="J1" s="5" t="s">
        <v>16</v>
      </c>
    </row>
    <row r="2" spans="1:10" x14ac:dyDescent="0.4">
      <c r="A2" s="6">
        <v>0</v>
      </c>
      <c r="B2" s="3">
        <v>662.30000000000018</v>
      </c>
      <c r="C2" s="6">
        <v>671.5300000000002</v>
      </c>
      <c r="D2" s="6">
        <v>690.9</v>
      </c>
      <c r="E2" s="6">
        <v>698.42000000000007</v>
      </c>
      <c r="G2" s="6" t="s">
        <v>5</v>
      </c>
      <c r="H2" s="3">
        <v>333.34999999999997</v>
      </c>
      <c r="I2" s="3">
        <v>305.25</v>
      </c>
      <c r="J2" s="3">
        <v>260.16000000000003</v>
      </c>
    </row>
    <row r="3" spans="1:10" x14ac:dyDescent="0.4">
      <c r="A3" s="6">
        <v>0.223</v>
      </c>
      <c r="B3" s="3">
        <v>662.43127505177313</v>
      </c>
      <c r="C3" s="6">
        <v>671.5300000000002</v>
      </c>
      <c r="D3" s="6">
        <v>691.03127505177304</v>
      </c>
      <c r="E3" s="6">
        <v>699.3263529349075</v>
      </c>
      <c r="H3" s="3">
        <v>328.62409813617069</v>
      </c>
      <c r="I3" s="3">
        <v>305.25</v>
      </c>
      <c r="J3" s="3">
        <v>265.01717691560236</v>
      </c>
    </row>
    <row r="4" spans="1:10" x14ac:dyDescent="0.4">
      <c r="A4" s="3" t="s">
        <v>3</v>
      </c>
      <c r="C4" s="7" t="s">
        <v>12</v>
      </c>
      <c r="D4" s="7" t="s">
        <v>14</v>
      </c>
      <c r="E4" s="7" t="s">
        <v>16</v>
      </c>
      <c r="F4" s="7"/>
      <c r="H4" s="6" cm="1">
        <f t="array" ref="H4:J4">H3:J3-H2:J2</f>
        <v>-4.7259018638292787</v>
      </c>
      <c r="I4" s="6">
        <v>0</v>
      </c>
      <c r="J4" s="6">
        <v>4.8571769156023379</v>
      </c>
    </row>
    <row r="5" spans="1:10" x14ac:dyDescent="0.4">
      <c r="A5" s="6">
        <v>0</v>
      </c>
      <c r="C5" s="6">
        <f>C2-B2</f>
        <v>9.2300000000000182</v>
      </c>
      <c r="D5" s="6">
        <f>D2-B2</f>
        <v>28.599999999999795</v>
      </c>
      <c r="E5" s="6">
        <f>E2-B2</f>
        <v>36.119999999999891</v>
      </c>
      <c r="H5" s="6">
        <f>H4/H2*100</f>
        <v>-1.4176996741650756</v>
      </c>
      <c r="I5" s="6">
        <f t="shared" ref="I5:J5" si="0">I4/I2*100</f>
        <v>0</v>
      </c>
      <c r="J5" s="6">
        <f t="shared" si="0"/>
        <v>1.8669960468951172</v>
      </c>
    </row>
    <row r="6" spans="1:10" x14ac:dyDescent="0.4">
      <c r="A6" s="6">
        <v>0.223</v>
      </c>
      <c r="C6" s="6">
        <f>C3-B3</f>
        <v>9.0987249482270727</v>
      </c>
      <c r="D6" s="6">
        <f>D3-B3</f>
        <v>28.599999999999909</v>
      </c>
      <c r="E6" s="6">
        <f>E3-B3</f>
        <v>36.895077883134377</v>
      </c>
      <c r="G6" s="6" t="s">
        <v>19</v>
      </c>
      <c r="H6" s="6">
        <v>0.25489000000000001</v>
      </c>
      <c r="I6" s="6">
        <v>0.61412999999999995</v>
      </c>
      <c r="J6" s="6">
        <v>0.69669999999999999</v>
      </c>
    </row>
    <row r="7" spans="1:10" x14ac:dyDescent="0.4">
      <c r="A7" s="3" t="s">
        <v>3</v>
      </c>
      <c r="C7" s="6" t="s">
        <v>11</v>
      </c>
      <c r="D7" s="6" t="s">
        <v>13</v>
      </c>
      <c r="E7" s="6" t="s">
        <v>15</v>
      </c>
      <c r="G7" s="6" t="s">
        <v>17</v>
      </c>
      <c r="H7" s="6" cm="1">
        <f t="array" ref="H7:J7">H6:J6*7+3</f>
        <v>4.78423</v>
      </c>
      <c r="I7" s="6">
        <v>7.2989099999999993</v>
      </c>
      <c r="J7" s="6">
        <v>7.8769</v>
      </c>
    </row>
    <row r="8" spans="1:10" x14ac:dyDescent="0.4">
      <c r="A8" s="6">
        <v>0</v>
      </c>
      <c r="C8" s="9" cm="1">
        <f t="array" ref="C8:E8">C5:E5/SUM(C5:E5)</f>
        <v>0.12481406355645781</v>
      </c>
      <c r="D8" s="9">
        <v>0.38674780256930236</v>
      </c>
      <c r="E8" s="9">
        <v>0.48843813387423984</v>
      </c>
      <c r="G8" s="6" t="s">
        <v>18</v>
      </c>
      <c r="H8" s="6" cm="1">
        <f t="array" ref="H8:J8">8+5*(EXP(-130*C10:E10)-1)</f>
        <v>10.23016599546153</v>
      </c>
      <c r="I8" s="6">
        <v>10.716566998534605</v>
      </c>
      <c r="J8" s="6">
        <v>5.2404621606616111</v>
      </c>
    </row>
    <row r="9" spans="1:10" x14ac:dyDescent="0.4">
      <c r="A9" s="6">
        <v>0.223</v>
      </c>
      <c r="C9" s="9" cm="1">
        <f t="array" ref="C9:E9">C6:E6/SUM(C6:E6)</f>
        <v>0.12197695522772985</v>
      </c>
      <c r="D9" s="9">
        <v>0.38340986669707172</v>
      </c>
      <c r="E9" s="9">
        <v>0.49461317807519845</v>
      </c>
      <c r="H9" s="6" cm="1">
        <f t="array" ref="H9:J9">H8:J8-_xlfn.ANCHORARRAY(H7)+_xlfn.ANCHORARRAY(H4)</f>
        <v>0.72003413163225094</v>
      </c>
      <c r="I9" s="6">
        <v>3.4176569985346053</v>
      </c>
      <c r="J9" s="6">
        <v>2.220739076263949</v>
      </c>
    </row>
    <row r="10" spans="1:10" x14ac:dyDescent="0.4">
      <c r="C10" s="9">
        <f>C9-C8</f>
        <v>-2.8371083287279664E-3</v>
      </c>
      <c r="D10" s="9">
        <f t="shared" ref="D10:E10" si="1">D9-D8</f>
        <v>-3.3379358722306351E-3</v>
      </c>
      <c r="E10" s="9">
        <f t="shared" si="1"/>
        <v>6.1750442009586015E-3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z</dc:creator>
  <cp:lastModifiedBy>z z</cp:lastModifiedBy>
  <cp:lastPrinted>2024-04-12T06:36:52Z</cp:lastPrinted>
  <dcterms:created xsi:type="dcterms:W3CDTF">2015-06-05T18:19:34Z</dcterms:created>
  <dcterms:modified xsi:type="dcterms:W3CDTF">2024-05-04T10:04:00Z</dcterms:modified>
</cp:coreProperties>
</file>