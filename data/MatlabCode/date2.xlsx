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Program Files\Polyspace\R2020b\bin\MatlabCode\"/>
    </mc:Choice>
  </mc:AlternateContent>
  <xr:revisionPtr revIDLastSave="0" documentId="13_ncr:1_{7C3CC085-6821-4638-8F83-A0A3CF1C638A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2" i="1"/>
  <c r="AJ2" i="1" a="1"/>
  <c r="AJ2" i="1" s="1"/>
  <c r="AK2" i="1" a="1"/>
  <c r="AK2" i="1" s="1"/>
  <c r="AL2" i="1" a="1"/>
  <c r="AL2" i="1" s="1"/>
  <c r="AN2" i="1" a="1"/>
  <c r="AN2" i="1" s="1"/>
  <c r="AM2" i="1" a="1"/>
  <c r="AM2" i="1" s="1"/>
  <c r="Y26" i="1"/>
  <c r="AU3" i="1"/>
  <c r="AU4" i="1" s="1"/>
  <c r="AU5" i="1" s="1"/>
  <c r="AU6" i="1" s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<sst xmlns="http://schemas.openxmlformats.org/spreadsheetml/2006/main" count="74" uniqueCount="33">
  <si>
    <t>Ps1</t>
    <phoneticPr fontId="1" type="noConversion"/>
  </si>
  <si>
    <t>Cs1</t>
    <phoneticPr fontId="1" type="noConversion"/>
  </si>
  <si>
    <t>Ps2</t>
    <phoneticPr fontId="1" type="noConversion"/>
  </si>
  <si>
    <t>Cs2</t>
    <phoneticPr fontId="1" type="noConversion"/>
  </si>
  <si>
    <t>Ps3</t>
    <phoneticPr fontId="1" type="noConversion"/>
  </si>
  <si>
    <t>Cs3</t>
    <phoneticPr fontId="1" type="noConversion"/>
  </si>
  <si>
    <t>Pb1</t>
    <phoneticPr fontId="1" type="noConversion"/>
  </si>
  <si>
    <t>ss1</t>
    <phoneticPr fontId="1" type="noConversion"/>
  </si>
  <si>
    <t>ss2</t>
    <phoneticPr fontId="1" type="noConversion"/>
  </si>
  <si>
    <t>ss3</t>
    <phoneticPr fontId="1" type="noConversion"/>
  </si>
  <si>
    <t>Cb1</t>
    <phoneticPr fontId="1" type="noConversion"/>
  </si>
  <si>
    <t>Pb2</t>
    <phoneticPr fontId="1" type="noConversion"/>
  </si>
  <si>
    <t>Cb2</t>
    <phoneticPr fontId="1" type="noConversion"/>
  </si>
  <si>
    <t>Pb3</t>
    <phoneticPr fontId="1" type="noConversion"/>
  </si>
  <si>
    <t>Cb3</t>
    <phoneticPr fontId="1" type="noConversion"/>
  </si>
  <si>
    <t>Pb4</t>
    <phoneticPr fontId="1" type="noConversion"/>
  </si>
  <si>
    <t>Cb4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</si>
  <si>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</si>
  <si>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</si>
  <si>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</si>
  <si>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sb4</t>
    <phoneticPr fontId="1" type="noConversion"/>
  </si>
  <si>
    <t>Qs1</t>
    <phoneticPr fontId="1" type="noConversion"/>
  </si>
  <si>
    <t>Qs2</t>
    <phoneticPr fontId="1" type="noConversion"/>
  </si>
  <si>
    <t>Qs3</t>
    <phoneticPr fontId="1" type="noConversion"/>
  </si>
  <si>
    <t>be</t>
    <phoneticPr fontId="1" type="noConversion"/>
  </si>
  <si>
    <t>qi</t>
    <phoneticPr fontId="1" type="noConversion"/>
  </si>
  <si>
    <t>t</t>
    <phoneticPr fontId="1" type="noConversion"/>
  </si>
  <si>
    <t>qi_min</t>
    <phoneticPr fontId="1" type="noConversion"/>
  </si>
  <si>
    <t>T</t>
    <phoneticPr fontId="1" type="noConversion"/>
  </si>
  <si>
    <t>dei</t>
    <phoneticPr fontId="1" type="noConversion"/>
  </si>
  <si>
    <t>dqi</t>
    <phoneticPr fontId="1" type="noConversion"/>
  </si>
  <si>
    <t>p</t>
    <phoneticPr fontId="1" type="noConversion"/>
  </si>
  <si>
    <t>pdd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</si>
</sst>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6"/>
  <sheetViews>
    <sheetView tabSelected="1" topLeftCell="Z82" zoomScale="85" zoomScaleNormal="85" workbookViewId="0">
      <selection activeCell="AP2" sqref="AP2:AP116"/>
    </sheetView>
  </sheetViews>
  <sheetFormatPr defaultRowHeight="13.9" x14ac:dyDescent="0.4"/>
  <cols>
    <col min="1" max="1" width="4.53125" style="2" bestFit="1" customWidth="1"/>
    <col min="2" max="3" width="5.86328125" style="4" bestFit="1" customWidth="1"/>
    <col min="4" max="4" width="7.796875" style="3" bestFit="1" customWidth="1"/>
    <col min="5" max="5" width="4.53125" style="2" bestFit="1" customWidth="1"/>
    <col min="6" max="7" width="5.86328125" style="4" bestFit="1" customWidth="1"/>
    <col min="8" max="8" width="8.796875" style="3" bestFit="1" customWidth="1"/>
    <col min="9" max="9" width="4.265625" style="2" bestFit="1" customWidth="1"/>
    <col min="10" max="11" width="5.86328125" style="4" bestFit="1" customWidth="1"/>
    <col min="12" max="12" width="7.796875" style="3" bestFit="1" customWidth="1"/>
    <col min="13" max="13" width="4.6640625" style="2" bestFit="1" customWidth="1"/>
    <col min="14" max="14" width="5.86328125" style="4" bestFit="1" customWidth="1"/>
    <col min="15" max="15" width="8.796875" style="3" bestFit="1" customWidth="1"/>
    <col min="16" max="16" width="4.6640625" style="2" bestFit="1" customWidth="1"/>
    <col min="17" max="17" width="5.86328125" style="4" bestFit="1" customWidth="1"/>
    <col min="18" max="18" width="5.86328125" style="3" bestFit="1" customWidth="1"/>
    <col min="19" max="19" width="4.6640625" style="2" bestFit="1" customWidth="1"/>
    <col min="20" max="20" width="5.86328125" style="4" bestFit="1" customWidth="1"/>
    <col min="21" max="21" width="5.86328125" style="3" bestFit="1" customWidth="1"/>
    <col min="22" max="22" width="4.6640625" style="2" bestFit="1" customWidth="1"/>
    <col min="23" max="23" width="5.86328125" style="4" bestFit="1" customWidth="1"/>
    <col min="24" max="24" width="5.86328125" style="3" bestFit="1" customWidth="1"/>
    <col min="25" max="26" width="11.73046875" style="2" bestFit="1" customWidth="1"/>
    <col min="27" max="27" width="2.9296875" style="2" bestFit="1" customWidth="1"/>
    <col min="28" max="28" width="7.3984375" style="4" bestFit="1" customWidth="1"/>
    <col min="29" max="29" width="7.53125" style="4" bestFit="1" customWidth="1"/>
    <col min="30" max="31" width="11.73046875" style="4" bestFit="1" customWidth="1"/>
    <col min="32" max="32" width="7.3984375" style="4" bestFit="1" customWidth="1"/>
    <col min="33" max="34" width="7.3984375" style="4" customWidth="1"/>
    <col min="36" max="37" width="7.3984375" style="4" customWidth="1"/>
    <col min="38" max="40" width="7.53125" style="4" customWidth="1"/>
    <col min="41" max="41" width="7.53125" style="4" bestFit="1" customWidth="1"/>
    <col min="42" max="42" width="13.53125" bestFit="1" customWidth="1"/>
    <col min="47" max="47" width="3.59765625" style="8" bestFit="1" customWidth="1"/>
    <col min="48" max="48" width="4.53125" style="4" bestFit="1" customWidth="1"/>
    <col min="49" max="50" width="5.86328125" style="4" bestFit="1" customWidth="1"/>
    <col min="51" max="51" width="4.53125" style="4" bestFit="1" customWidth="1"/>
    <col min="52" max="53" width="5.86328125" style="4" bestFit="1" customWidth="1"/>
    <col min="54" max="54" width="4.265625" style="4" bestFit="1" customWidth="1"/>
    <col min="55" max="56" width="5.86328125" style="4" bestFit="1" customWidth="1"/>
    <col min="57" max="57" width="5.59765625" style="4" bestFit="1" customWidth="1"/>
    <col min="58" max="16384" width="9.06640625" style="4"/>
  </cols>
  <sheetData>
    <row r="1" spans="1:56" s="1" customFormat="1" ht="15" x14ac:dyDescent="0.4">
      <c r="A1" s="1" t="s">
        <v>0</v>
      </c>
      <c r="B1" s="1" t="s">
        <v>1</v>
      </c>
      <c r="C1" s="1" t="s">
        <v>21</v>
      </c>
      <c r="D1" s="1" t="s">
        <v>7</v>
      </c>
      <c r="E1" s="1" t="s">
        <v>2</v>
      </c>
      <c r="F1" s="1" t="s">
        <v>3</v>
      </c>
      <c r="G1" s="1" t="s">
        <v>22</v>
      </c>
      <c r="H1" s="1" t="s">
        <v>8</v>
      </c>
      <c r="I1" s="1" t="s">
        <v>4</v>
      </c>
      <c r="J1" s="1" t="s">
        <v>5</v>
      </c>
      <c r="K1" s="1" t="s">
        <v>23</v>
      </c>
      <c r="L1" s="1" t="s">
        <v>9</v>
      </c>
      <c r="M1" s="1" t="s">
        <v>6</v>
      </c>
      <c r="N1" s="1" t="s">
        <v>10</v>
      </c>
      <c r="O1" s="1" t="s">
        <v>17</v>
      </c>
      <c r="P1" s="1" t="s">
        <v>11</v>
      </c>
      <c r="Q1" s="1" t="s">
        <v>12</v>
      </c>
      <c r="R1" s="1" t="s">
        <v>18</v>
      </c>
      <c r="S1" s="1" t="s">
        <v>13</v>
      </c>
      <c r="T1" s="1" t="s">
        <v>14</v>
      </c>
      <c r="U1" s="1" t="s">
        <v>19</v>
      </c>
      <c r="V1" s="1" t="s">
        <v>15</v>
      </c>
      <c r="W1" s="1" t="s">
        <v>16</v>
      </c>
      <c r="X1" s="1" t="s">
        <v>20</v>
      </c>
      <c r="Y1" s="1" t="s">
        <v>24</v>
      </c>
      <c r="Z1" s="1" t="s">
        <v>25</v>
      </c>
      <c r="AA1" s="1" t="s">
        <v>26</v>
      </c>
      <c r="AC1" s="1" t="s">
        <v>27</v>
      </c>
      <c r="AD1" s="1" t="s">
        <v>29</v>
      </c>
      <c r="AE1" s="1" t="s">
        <v>30</v>
      </c>
      <c r="AF1" s="1" t="s">
        <v>24</v>
      </c>
      <c r="AG1" s="1" t="s">
        <v>31</v>
      </c>
      <c r="AH1" s="1" t="s">
        <v>25</v>
      </c>
      <c r="AJ1" s="1" t="s">
        <v>29</v>
      </c>
      <c r="AK1" s="1" t="s">
        <v>30</v>
      </c>
      <c r="AL1" s="1" t="s">
        <v>24</v>
      </c>
      <c r="AM1" s="1" t="s">
        <v>31</v>
      </c>
      <c r="AN1" s="1" t="s">
        <v>25</v>
      </c>
      <c r="AO1" s="1" t="s">
        <v>27</v>
      </c>
      <c r="AP1" s="1" t="s">
        <v>32</v>
      </c>
      <c r="AU1" s="5" t="s">
        <v>28</v>
      </c>
      <c r="AV1" s="13" t="s">
        <v>0</v>
      </c>
      <c r="AW1" s="13" t="s">
        <v>1</v>
      </c>
      <c r="AX1" s="13" t="s">
        <v>21</v>
      </c>
      <c r="AY1" s="13" t="s">
        <v>2</v>
      </c>
      <c r="AZ1" s="13" t="s">
        <v>3</v>
      </c>
      <c r="BA1" s="13" t="s">
        <v>22</v>
      </c>
      <c r="BB1" s="13" t="s">
        <v>4</v>
      </c>
      <c r="BC1" s="13" t="s">
        <v>5</v>
      </c>
      <c r="BD1" s="14" t="s">
        <v>23</v>
      </c>
    </row>
    <row r="2" spans="1:56" x14ac:dyDescent="0.4">
      <c r="A2" s="2">
        <v>110</v>
      </c>
      <c r="B2" s="3">
        <v>0.41</v>
      </c>
      <c r="C2" s="3">
        <v>0.40826671395461001</v>
      </c>
      <c r="D2" s="3">
        <v>0</v>
      </c>
      <c r="E2" s="2">
        <v>103</v>
      </c>
      <c r="F2" s="3">
        <v>0.38</v>
      </c>
      <c r="G2" s="3">
        <v>0.66298937703117888</v>
      </c>
      <c r="H2" s="3">
        <v>4.8543689320388328E-2</v>
      </c>
      <c r="I2" s="2">
        <v>60</v>
      </c>
      <c r="J2" s="3">
        <v>0.35</v>
      </c>
      <c r="K2" s="3">
        <v>0.80602656690394836</v>
      </c>
      <c r="L2" s="3">
        <v>1</v>
      </c>
      <c r="M2" s="2">
        <v>38</v>
      </c>
      <c r="N2" s="3">
        <v>0.36</v>
      </c>
      <c r="O2" s="3">
        <v>0</v>
      </c>
      <c r="P2" s="2">
        <v>40</v>
      </c>
      <c r="Q2" s="3">
        <v>0.37</v>
      </c>
      <c r="R2" s="3">
        <v>0</v>
      </c>
      <c r="S2" s="2">
        <v>60</v>
      </c>
      <c r="T2" s="3">
        <v>0.36</v>
      </c>
      <c r="U2" s="3">
        <v>0</v>
      </c>
      <c r="V2" s="2">
        <v>65</v>
      </c>
      <c r="W2" s="3">
        <v>0.4</v>
      </c>
      <c r="X2" s="3">
        <v>1</v>
      </c>
      <c r="Y2" s="4">
        <v>3.1000000000000014</v>
      </c>
      <c r="Z2" s="4">
        <v>0.79502370614450457</v>
      </c>
      <c r="AA2" s="4">
        <v>0</v>
      </c>
      <c r="AC2" s="4">
        <v>0</v>
      </c>
      <c r="AD2" s="4">
        <v>0.79603453789574663</v>
      </c>
      <c r="AE2" s="4">
        <v>0.53151272759777224</v>
      </c>
      <c r="AF2" s="4">
        <v>248.92</v>
      </c>
      <c r="AG2" s="4">
        <v>3127</v>
      </c>
      <c r="AH2" s="4">
        <v>1662.0402991982339</v>
      </c>
      <c r="AJ2" s="4" cm="1">
        <f t="array" ref="AJ2:AJ116">AD2:AD116/MAX(AD2:AD116)</f>
        <v>1</v>
      </c>
      <c r="AK2" s="4" cm="1">
        <f t="array" ref="AK2:AK116">AE2:AE116/MAX(AE2:AE116)</f>
        <v>0.86927739665905035</v>
      </c>
      <c r="AL2" s="4" cm="1">
        <f t="array" ref="AL2:AL116">AF2:AF116/MAX(AF2:AF116)</f>
        <v>1</v>
      </c>
      <c r="AM2" s="4" cm="1">
        <f t="array" ref="AM2:AM116">AG2:AG116/MAX(AG2:AG116)</f>
        <v>0.96686689796862846</v>
      </c>
      <c r="AN2" s="4" cm="1">
        <f t="array" ref="AN2:AN116">AH2:AH116/MAX(AH2:AH116)</f>
        <v>0.91172573830162817</v>
      </c>
      <c r="AO2" s="4">
        <v>0</v>
      </c>
      <c r="AP2" t="e">
        <f>(AK2-0.86928)/(1-AJ2)</f>
        <v>#DIV/0!</v>
      </c>
      <c r="AU2" s="6">
        <v>0</v>
      </c>
      <c r="AV2" s="2">
        <v>110</v>
      </c>
      <c r="AW2" s="3">
        <v>0.41</v>
      </c>
      <c r="AX2" s="3">
        <v>0.40826671395461001</v>
      </c>
      <c r="AY2" s="2">
        <v>103</v>
      </c>
      <c r="AZ2" s="3">
        <v>0.38</v>
      </c>
      <c r="BA2" s="3">
        <v>0.66298937703117888</v>
      </c>
      <c r="BB2" s="2">
        <v>60</v>
      </c>
      <c r="BC2" s="3">
        <v>0.35</v>
      </c>
      <c r="BD2" s="9">
        <v>0.80602656690394836</v>
      </c>
    </row>
    <row r="3" spans="1:56" x14ac:dyDescent="0.4">
      <c r="A3" s="2">
        <v>120</v>
      </c>
      <c r="B3" s="3">
        <v>0.35</v>
      </c>
      <c r="C3" s="3">
        <v>0.53788850145950862</v>
      </c>
      <c r="D3" s="3">
        <v>1</v>
      </c>
      <c r="E3" s="2">
        <v>90</v>
      </c>
      <c r="F3" s="3">
        <v>0.38</v>
      </c>
      <c r="G3" s="3">
        <v>0.71756930099178606</v>
      </c>
      <c r="H3" s="3">
        <v>0</v>
      </c>
      <c r="I3" s="2">
        <v>74</v>
      </c>
      <c r="J3" s="3">
        <v>0.35</v>
      </c>
      <c r="K3" s="3">
        <v>0.80762732976143981</v>
      </c>
      <c r="L3" s="3">
        <v>1</v>
      </c>
      <c r="M3" s="2">
        <v>40</v>
      </c>
      <c r="N3" s="3">
        <v>0.41</v>
      </c>
      <c r="O3" s="3">
        <v>1</v>
      </c>
      <c r="P3" s="2">
        <v>45</v>
      </c>
      <c r="Q3" s="3">
        <v>0.38</v>
      </c>
      <c r="R3" s="3">
        <v>0.73333333333333361</v>
      </c>
      <c r="S3" s="2">
        <v>60</v>
      </c>
      <c r="T3" s="3">
        <v>0.39</v>
      </c>
      <c r="U3" s="3">
        <v>1</v>
      </c>
      <c r="V3" s="2">
        <v>61</v>
      </c>
      <c r="W3" s="3">
        <v>0.48</v>
      </c>
      <c r="X3" s="3">
        <v>1</v>
      </c>
      <c r="Y3" s="4">
        <v>13.719999999999999</v>
      </c>
      <c r="Z3" s="4">
        <v>0.64077856998704941</v>
      </c>
      <c r="AA3" s="4">
        <v>1</v>
      </c>
      <c r="AC3" s="4">
        <v>5.0000000000000001E-3</v>
      </c>
      <c r="AD3" s="4">
        <v>0.79603453789574663</v>
      </c>
      <c r="AE3" s="4">
        <v>0.53151272759777224</v>
      </c>
      <c r="AF3" s="4">
        <v>248.92</v>
      </c>
      <c r="AG3" s="4">
        <v>3127</v>
      </c>
      <c r="AH3" s="4">
        <v>1662.0402991982339</v>
      </c>
      <c r="AJ3" s="4">
        <v>1</v>
      </c>
      <c r="AK3" s="4">
        <v>0.86927739665905035</v>
      </c>
      <c r="AL3" s="4">
        <v>1</v>
      </c>
      <c r="AM3" s="4">
        <v>0.96686689796862846</v>
      </c>
      <c r="AN3" s="4">
        <v>0.91172573830162817</v>
      </c>
      <c r="AO3" s="4">
        <v>5.0000000000000001E-3</v>
      </c>
      <c r="AP3" t="e">
        <f t="shared" ref="AP3:AP66" si="0">(AK3-0.86928)/(1-AJ3)</f>
        <v>#DIV/0!</v>
      </c>
      <c r="AU3" s="6">
        <f>AU2+1</f>
        <v>1</v>
      </c>
      <c r="AV3" s="2">
        <v>120</v>
      </c>
      <c r="AW3" s="3">
        <v>0.35</v>
      </c>
      <c r="AX3" s="3">
        <v>0.53788850145950862</v>
      </c>
      <c r="AY3" s="2">
        <v>90</v>
      </c>
      <c r="AZ3" s="3">
        <v>0.38</v>
      </c>
      <c r="BA3" s="3">
        <v>0.71756930099178606</v>
      </c>
      <c r="BB3" s="2">
        <v>74</v>
      </c>
      <c r="BC3" s="3">
        <v>0.35</v>
      </c>
      <c r="BD3" s="9">
        <v>0.80762732976143981</v>
      </c>
    </row>
    <row r="4" spans="1:56" x14ac:dyDescent="0.4">
      <c r="A4" s="2">
        <v>115</v>
      </c>
      <c r="B4" s="3">
        <v>0.36</v>
      </c>
      <c r="C4" s="3">
        <v>0.12861531389963515</v>
      </c>
      <c r="D4" s="3">
        <v>5.4201939246390392E-2</v>
      </c>
      <c r="E4" s="2">
        <v>85</v>
      </c>
      <c r="F4" s="3">
        <v>0.44</v>
      </c>
      <c r="G4" s="3">
        <v>0.6867885133383238</v>
      </c>
      <c r="H4" s="3">
        <v>0</v>
      </c>
      <c r="I4" s="2">
        <v>60</v>
      </c>
      <c r="J4" s="3">
        <v>0.38</v>
      </c>
      <c r="K4" s="3">
        <v>0.61033471780112858</v>
      </c>
      <c r="L4" s="3">
        <v>1</v>
      </c>
      <c r="M4" s="2">
        <v>34</v>
      </c>
      <c r="N4" s="3">
        <v>0.42</v>
      </c>
      <c r="O4" s="3">
        <v>1</v>
      </c>
      <c r="P4" s="2">
        <v>40</v>
      </c>
      <c r="Q4" s="3">
        <v>0.38</v>
      </c>
      <c r="R4" s="3">
        <v>0</v>
      </c>
      <c r="S4" s="2">
        <v>60</v>
      </c>
      <c r="T4" s="3">
        <v>0.36</v>
      </c>
      <c r="U4" s="3">
        <v>0</v>
      </c>
      <c r="V4" s="2">
        <v>75</v>
      </c>
      <c r="W4" s="3">
        <v>0.41</v>
      </c>
      <c r="X4" s="3">
        <v>0.42977630684446527</v>
      </c>
      <c r="Y4" s="4">
        <v>2.4516611506667427</v>
      </c>
      <c r="Z4" s="4">
        <v>0.56499999999999995</v>
      </c>
      <c r="AA4" s="4">
        <v>2</v>
      </c>
      <c r="AC4" s="4">
        <v>0.01</v>
      </c>
      <c r="AD4" s="4">
        <v>0.79603453789574663</v>
      </c>
      <c r="AE4" s="4">
        <v>0.53151272759777224</v>
      </c>
      <c r="AF4" s="4">
        <v>248.92</v>
      </c>
      <c r="AG4" s="4">
        <v>3127</v>
      </c>
      <c r="AH4" s="4">
        <v>1662.0402991982339</v>
      </c>
      <c r="AJ4" s="4">
        <v>1</v>
      </c>
      <c r="AK4" s="4">
        <v>0.86927739665905035</v>
      </c>
      <c r="AL4" s="4">
        <v>1</v>
      </c>
      <c r="AM4" s="4">
        <v>0.96686689796862846</v>
      </c>
      <c r="AN4" s="4">
        <v>0.91172573830162817</v>
      </c>
      <c r="AO4" s="4">
        <v>0.01</v>
      </c>
      <c r="AP4" t="e">
        <f t="shared" si="0"/>
        <v>#DIV/0!</v>
      </c>
      <c r="AU4" s="6">
        <f t="shared" ref="AU4:AU25" si="1">AU3+1</f>
        <v>2</v>
      </c>
      <c r="AV4" s="2">
        <v>115</v>
      </c>
      <c r="AW4" s="3">
        <v>0.36</v>
      </c>
      <c r="AX4" s="3">
        <v>0.12861531389963515</v>
      </c>
      <c r="AY4" s="2">
        <v>85</v>
      </c>
      <c r="AZ4" s="3">
        <v>0.44</v>
      </c>
      <c r="BA4" s="3">
        <v>0.6867885133383238</v>
      </c>
      <c r="BB4" s="2">
        <v>60</v>
      </c>
      <c r="BC4" s="3">
        <v>0.38</v>
      </c>
      <c r="BD4" s="9">
        <v>0.61033471780112858</v>
      </c>
    </row>
    <row r="5" spans="1:56" x14ac:dyDescent="0.4">
      <c r="A5" s="2">
        <v>110</v>
      </c>
      <c r="B5" s="3">
        <v>0.37</v>
      </c>
      <c r="C5" s="3">
        <v>0.44071733203681207</v>
      </c>
      <c r="D5" s="3">
        <v>0.63684077388574911</v>
      </c>
      <c r="E5" s="2">
        <v>78</v>
      </c>
      <c r="F5" s="3">
        <v>0.36</v>
      </c>
      <c r="G5" s="3">
        <v>0.58375590752139839</v>
      </c>
      <c r="H5" s="3">
        <v>1</v>
      </c>
      <c r="I5" s="2">
        <v>60</v>
      </c>
      <c r="J5" s="3">
        <v>0.38</v>
      </c>
      <c r="K5" s="3">
        <v>0.70443590911304244</v>
      </c>
      <c r="L5" s="3">
        <v>0.86579191454279347</v>
      </c>
      <c r="M5" s="2">
        <v>35</v>
      </c>
      <c r="N5" s="3">
        <v>0.45</v>
      </c>
      <c r="O5" s="3">
        <v>1</v>
      </c>
      <c r="P5" s="2">
        <v>40</v>
      </c>
      <c r="Q5" s="3">
        <v>0.41</v>
      </c>
      <c r="R5" s="3">
        <v>1</v>
      </c>
      <c r="S5" s="2">
        <v>60</v>
      </c>
      <c r="T5" s="3">
        <v>0.4</v>
      </c>
      <c r="U5" s="3">
        <v>1</v>
      </c>
      <c r="V5" s="2">
        <v>65</v>
      </c>
      <c r="W5" s="3">
        <v>0.39</v>
      </c>
      <c r="X5" s="3">
        <v>1</v>
      </c>
      <c r="Y5" s="4">
        <v>7.7605248512743259</v>
      </c>
      <c r="Z5" s="4">
        <v>0.56499999999999995</v>
      </c>
      <c r="AA5" s="4">
        <v>3</v>
      </c>
      <c r="AC5" s="4">
        <v>1.4999999999999999E-2</v>
      </c>
      <c r="AD5" s="4">
        <v>0.79603453789574663</v>
      </c>
      <c r="AE5" s="4">
        <v>0.53151272759777224</v>
      </c>
      <c r="AF5" s="4">
        <v>248.92</v>
      </c>
      <c r="AG5" s="4">
        <v>3127</v>
      </c>
      <c r="AH5" s="4">
        <v>1662.0402991982339</v>
      </c>
      <c r="AJ5" s="4">
        <v>1</v>
      </c>
      <c r="AK5" s="4">
        <v>0.86927739665905035</v>
      </c>
      <c r="AL5" s="4">
        <v>1</v>
      </c>
      <c r="AM5" s="4">
        <v>0.96686689796862846</v>
      </c>
      <c r="AN5" s="4">
        <v>0.91172573830162817</v>
      </c>
      <c r="AO5" s="4">
        <v>1.4999999999999999E-2</v>
      </c>
      <c r="AP5" t="e">
        <f t="shared" si="0"/>
        <v>#DIV/0!</v>
      </c>
      <c r="AU5" s="6">
        <f t="shared" si="1"/>
        <v>3</v>
      </c>
      <c r="AV5" s="2">
        <v>110</v>
      </c>
      <c r="AW5" s="3">
        <v>0.37</v>
      </c>
      <c r="AX5" s="3">
        <v>0.44071733203681207</v>
      </c>
      <c r="AY5" s="2">
        <v>78</v>
      </c>
      <c r="AZ5" s="3">
        <v>0.36</v>
      </c>
      <c r="BA5" s="3">
        <v>0.58375590752139839</v>
      </c>
      <c r="BB5" s="2">
        <v>60</v>
      </c>
      <c r="BC5" s="3">
        <v>0.38</v>
      </c>
      <c r="BD5" s="9">
        <v>0.70443590911304244</v>
      </c>
    </row>
    <row r="6" spans="1:56" x14ac:dyDescent="0.4">
      <c r="A6" s="2">
        <v>57</v>
      </c>
      <c r="B6" s="3">
        <v>0.35</v>
      </c>
      <c r="C6" s="3">
        <v>0.38637652398589806</v>
      </c>
      <c r="D6" s="3">
        <v>0.71333224740770484</v>
      </c>
      <c r="E6" s="2">
        <v>90</v>
      </c>
      <c r="F6" s="3">
        <v>0.39</v>
      </c>
      <c r="G6" s="3">
        <v>0.64348714670966578</v>
      </c>
      <c r="H6" s="3">
        <v>1</v>
      </c>
      <c r="I6" s="2">
        <v>60</v>
      </c>
      <c r="J6" s="3">
        <v>0.39</v>
      </c>
      <c r="K6" s="3">
        <v>0.57528829563845907</v>
      </c>
      <c r="L6" s="3">
        <v>0.32233436496268042</v>
      </c>
      <c r="M6" s="2">
        <v>80</v>
      </c>
      <c r="N6" s="3">
        <v>0.39</v>
      </c>
      <c r="O6" s="3">
        <v>1</v>
      </c>
      <c r="P6" s="2">
        <v>75</v>
      </c>
      <c r="Q6" s="3">
        <v>0.36</v>
      </c>
      <c r="R6" s="3">
        <v>0</v>
      </c>
      <c r="S6" s="2">
        <v>70</v>
      </c>
      <c r="T6" s="3">
        <v>0.38</v>
      </c>
      <c r="U6" s="3">
        <v>0</v>
      </c>
      <c r="V6" s="2">
        <v>70</v>
      </c>
      <c r="W6" s="3">
        <v>0.42</v>
      </c>
      <c r="X6" s="3">
        <v>1</v>
      </c>
      <c r="Y6" s="4">
        <v>3.7263975240895704</v>
      </c>
      <c r="Z6" s="4">
        <v>0.56500000000000006</v>
      </c>
      <c r="AA6" s="4">
        <v>4</v>
      </c>
      <c r="AC6" s="4">
        <v>0.02</v>
      </c>
      <c r="AD6" s="4">
        <v>0.79603453789574663</v>
      </c>
      <c r="AE6" s="4">
        <v>0.53151272759777224</v>
      </c>
      <c r="AF6" s="4">
        <v>248.92</v>
      </c>
      <c r="AG6" s="4">
        <v>3127</v>
      </c>
      <c r="AH6" s="4">
        <v>1662.0402991982339</v>
      </c>
      <c r="AJ6" s="4">
        <v>1</v>
      </c>
      <c r="AK6" s="4">
        <v>0.86927739665905035</v>
      </c>
      <c r="AL6" s="4">
        <v>1</v>
      </c>
      <c r="AM6" s="4">
        <v>0.96686689796862846</v>
      </c>
      <c r="AN6" s="4">
        <v>0.91172573830162817</v>
      </c>
      <c r="AO6" s="4">
        <v>0.02</v>
      </c>
      <c r="AP6" t="e">
        <f t="shared" si="0"/>
        <v>#DIV/0!</v>
      </c>
      <c r="AU6" s="6">
        <f t="shared" si="1"/>
        <v>4</v>
      </c>
      <c r="AV6" s="2">
        <v>57</v>
      </c>
      <c r="AW6" s="3">
        <v>0.35</v>
      </c>
      <c r="AX6" s="3">
        <v>0.38637652398589806</v>
      </c>
      <c r="AY6" s="2">
        <v>90</v>
      </c>
      <c r="AZ6" s="3">
        <v>0.39</v>
      </c>
      <c r="BA6" s="3">
        <v>0.64348714670966578</v>
      </c>
      <c r="BB6" s="2">
        <v>60</v>
      </c>
      <c r="BC6" s="3">
        <v>0.39</v>
      </c>
      <c r="BD6" s="9">
        <v>0.57528829563845907</v>
      </c>
    </row>
    <row r="7" spans="1:56" x14ac:dyDescent="0.4">
      <c r="A7" s="2">
        <v>80</v>
      </c>
      <c r="B7" s="3">
        <v>0.36</v>
      </c>
      <c r="C7" s="3">
        <v>0.22373117036947263</v>
      </c>
      <c r="D7" s="3">
        <v>0</v>
      </c>
      <c r="E7" s="2">
        <v>80</v>
      </c>
      <c r="F7" s="3">
        <v>0.38</v>
      </c>
      <c r="G7" s="3">
        <v>0.53537171962413621</v>
      </c>
      <c r="H7" s="3">
        <v>0.31766408940507967</v>
      </c>
      <c r="I7" s="2">
        <v>37</v>
      </c>
      <c r="J7" s="3">
        <v>0.47</v>
      </c>
      <c r="K7" s="3">
        <v>0.5853499258513235</v>
      </c>
      <c r="L7" s="3">
        <v>1</v>
      </c>
      <c r="M7" s="2">
        <v>40</v>
      </c>
      <c r="N7" s="3">
        <v>0.36</v>
      </c>
      <c r="O7" s="3">
        <v>0</v>
      </c>
      <c r="P7" s="2">
        <v>55</v>
      </c>
      <c r="Q7" s="3">
        <v>0.39</v>
      </c>
      <c r="R7" s="3">
        <v>0</v>
      </c>
      <c r="S7" s="2">
        <v>80</v>
      </c>
      <c r="T7" s="3">
        <v>0.44</v>
      </c>
      <c r="U7" s="3">
        <v>0</v>
      </c>
      <c r="V7" s="2">
        <v>90</v>
      </c>
      <c r="W7" s="3">
        <v>0.46</v>
      </c>
      <c r="X7" s="3">
        <v>0.69347919058229313</v>
      </c>
      <c r="Y7" s="4">
        <v>1.6630501721925128</v>
      </c>
      <c r="Z7" s="4">
        <v>0.56499999999999995</v>
      </c>
      <c r="AA7" s="4">
        <v>5</v>
      </c>
      <c r="AC7" s="4">
        <v>2.5000000000000001E-2</v>
      </c>
      <c r="AD7" s="4">
        <v>0.79603453789574663</v>
      </c>
      <c r="AE7" s="4">
        <v>0.53151272759777224</v>
      </c>
      <c r="AF7" s="4">
        <v>248.92</v>
      </c>
      <c r="AG7" s="4">
        <v>3127</v>
      </c>
      <c r="AH7" s="4">
        <v>1662.0402991982339</v>
      </c>
      <c r="AJ7" s="4">
        <v>1</v>
      </c>
      <c r="AK7" s="4">
        <v>0.86927739665905035</v>
      </c>
      <c r="AL7" s="4">
        <v>1</v>
      </c>
      <c r="AM7" s="4">
        <v>0.96686689796862846</v>
      </c>
      <c r="AN7" s="4">
        <v>0.91172573830162817</v>
      </c>
      <c r="AO7" s="4">
        <v>2.5000000000000001E-2</v>
      </c>
      <c r="AP7" t="e">
        <f t="shared" si="0"/>
        <v>#DIV/0!</v>
      </c>
      <c r="AU7" s="6">
        <f t="shared" si="1"/>
        <v>5</v>
      </c>
      <c r="AV7" s="2">
        <v>80</v>
      </c>
      <c r="AW7" s="3">
        <v>0.36</v>
      </c>
      <c r="AX7" s="3">
        <v>0.22373117036947263</v>
      </c>
      <c r="AY7" s="2">
        <v>80</v>
      </c>
      <c r="AZ7" s="3">
        <v>0.38</v>
      </c>
      <c r="BA7" s="3">
        <v>0.53537171962413621</v>
      </c>
      <c r="BB7" s="2">
        <v>37</v>
      </c>
      <c r="BC7" s="3">
        <v>0.47</v>
      </c>
      <c r="BD7" s="9">
        <v>0.5853499258513235</v>
      </c>
    </row>
    <row r="8" spans="1:56" x14ac:dyDescent="0.4">
      <c r="A8" s="2">
        <v>100</v>
      </c>
      <c r="B8" s="3">
        <v>0.4</v>
      </c>
      <c r="C8" s="3">
        <v>0.3111407977694316</v>
      </c>
      <c r="D8" s="3">
        <v>0.40406565679916212</v>
      </c>
      <c r="E8" s="2">
        <v>70</v>
      </c>
      <c r="F8" s="3">
        <v>0.35</v>
      </c>
      <c r="G8" s="3">
        <v>0.70293956317576423</v>
      </c>
      <c r="H8" s="3">
        <v>1</v>
      </c>
      <c r="I8" s="2">
        <v>35</v>
      </c>
      <c r="J8" s="3">
        <v>0.48</v>
      </c>
      <c r="K8" s="3">
        <v>0.69601506718966522</v>
      </c>
      <c r="L8" s="3">
        <v>0.13124098057382239</v>
      </c>
      <c r="M8" s="2">
        <v>35</v>
      </c>
      <c r="N8" s="3">
        <v>0.53</v>
      </c>
      <c r="O8" s="3">
        <v>1</v>
      </c>
      <c r="P8" s="2">
        <v>41</v>
      </c>
      <c r="Q8" s="3">
        <v>0.37</v>
      </c>
      <c r="R8" s="3">
        <v>0</v>
      </c>
      <c r="S8" s="2">
        <v>60</v>
      </c>
      <c r="T8" s="3">
        <v>0.38</v>
      </c>
      <c r="U8" s="3">
        <v>0</v>
      </c>
      <c r="V8" s="2">
        <v>80</v>
      </c>
      <c r="W8" s="3">
        <v>0.46</v>
      </c>
      <c r="X8" s="3">
        <v>1</v>
      </c>
      <c r="Y8" s="4">
        <v>12.482525254393298</v>
      </c>
      <c r="Z8" s="4">
        <v>0.56499999999999995</v>
      </c>
      <c r="AA8" s="4">
        <v>6</v>
      </c>
      <c r="AC8" s="4">
        <v>0.03</v>
      </c>
      <c r="AD8" s="4">
        <v>0.79603453789574663</v>
      </c>
      <c r="AE8" s="4">
        <v>0.53151272759777224</v>
      </c>
      <c r="AF8" s="4">
        <v>248.92</v>
      </c>
      <c r="AG8" s="4">
        <v>3127</v>
      </c>
      <c r="AH8" s="4">
        <v>1662.0402991982339</v>
      </c>
      <c r="AJ8" s="4">
        <v>1</v>
      </c>
      <c r="AK8" s="4">
        <v>0.86927739665905035</v>
      </c>
      <c r="AL8" s="4">
        <v>1</v>
      </c>
      <c r="AM8" s="4">
        <v>0.96686689796862846</v>
      </c>
      <c r="AN8" s="4">
        <v>0.91172573830162817</v>
      </c>
      <c r="AO8" s="4">
        <v>0.03</v>
      </c>
      <c r="AP8" t="e">
        <f t="shared" si="0"/>
        <v>#DIV/0!</v>
      </c>
      <c r="AU8" s="6">
        <f t="shared" si="1"/>
        <v>6</v>
      </c>
      <c r="AV8" s="2">
        <v>100</v>
      </c>
      <c r="AW8" s="3">
        <v>0.4</v>
      </c>
      <c r="AX8" s="3">
        <v>0.3111407977694316</v>
      </c>
      <c r="AY8" s="2">
        <v>70</v>
      </c>
      <c r="AZ8" s="3">
        <v>0.35</v>
      </c>
      <c r="BA8" s="3">
        <v>0.70293956317576423</v>
      </c>
      <c r="BB8" s="2">
        <v>35</v>
      </c>
      <c r="BC8" s="3">
        <v>0.48</v>
      </c>
      <c r="BD8" s="9">
        <v>0.69601506718966522</v>
      </c>
    </row>
    <row r="9" spans="1:56" x14ac:dyDescent="0.4">
      <c r="A9" s="2">
        <v>90</v>
      </c>
      <c r="B9" s="3">
        <v>0.4</v>
      </c>
      <c r="C9" s="3">
        <v>0.38876244665386495</v>
      </c>
      <c r="D9" s="3">
        <v>0</v>
      </c>
      <c r="E9" s="2">
        <v>90</v>
      </c>
      <c r="F9" s="3">
        <v>0.36</v>
      </c>
      <c r="G9" s="3">
        <v>0.49939298930308496</v>
      </c>
      <c r="H9" s="3">
        <v>1</v>
      </c>
      <c r="I9" s="2">
        <v>65</v>
      </c>
      <c r="J9" s="3">
        <v>0.37</v>
      </c>
      <c r="K9" s="3">
        <v>0.84996303082847502</v>
      </c>
      <c r="L9" s="3">
        <v>1</v>
      </c>
      <c r="M9" s="2">
        <v>32</v>
      </c>
      <c r="N9" s="3">
        <v>0.46</v>
      </c>
      <c r="O9" s="3">
        <v>1</v>
      </c>
      <c r="P9" s="2">
        <v>55</v>
      </c>
      <c r="Q9" s="3">
        <v>0.38</v>
      </c>
      <c r="R9" s="3">
        <v>0</v>
      </c>
      <c r="S9" s="2">
        <v>70</v>
      </c>
      <c r="T9" s="3">
        <v>0.4</v>
      </c>
      <c r="U9" s="3">
        <v>0.3285714285714284</v>
      </c>
      <c r="V9" s="2">
        <v>100</v>
      </c>
      <c r="W9" s="3">
        <v>0.46</v>
      </c>
      <c r="X9" s="3">
        <v>1</v>
      </c>
      <c r="Y9" s="4">
        <v>13.469999999999992</v>
      </c>
      <c r="Z9" s="4">
        <v>0.6464062325234099</v>
      </c>
      <c r="AA9" s="4">
        <v>7</v>
      </c>
      <c r="AC9" s="4">
        <v>3.5000000000000003E-2</v>
      </c>
      <c r="AD9" s="4">
        <v>0.79603453789574663</v>
      </c>
      <c r="AE9" s="4">
        <v>0.53151272759777224</v>
      </c>
      <c r="AF9" s="4">
        <v>248.92</v>
      </c>
      <c r="AG9" s="4">
        <v>3127</v>
      </c>
      <c r="AH9" s="4">
        <v>1662.0402991982339</v>
      </c>
      <c r="AJ9" s="4">
        <v>1</v>
      </c>
      <c r="AK9" s="4">
        <v>0.86927739665905035</v>
      </c>
      <c r="AL9" s="4">
        <v>1</v>
      </c>
      <c r="AM9" s="4">
        <v>0.96686689796862846</v>
      </c>
      <c r="AN9" s="4">
        <v>0.91172573830162817</v>
      </c>
      <c r="AO9" s="4">
        <v>3.5000000000000003E-2</v>
      </c>
      <c r="AP9" t="e">
        <f t="shared" si="0"/>
        <v>#DIV/0!</v>
      </c>
      <c r="AU9" s="6">
        <f t="shared" si="1"/>
        <v>7</v>
      </c>
      <c r="AV9" s="2">
        <v>90</v>
      </c>
      <c r="AW9" s="3">
        <v>0.4</v>
      </c>
      <c r="AX9" s="3">
        <v>0.38876244665386495</v>
      </c>
      <c r="AY9" s="2">
        <v>90</v>
      </c>
      <c r="AZ9" s="3">
        <v>0.36</v>
      </c>
      <c r="BA9" s="3">
        <v>0.49939298930308496</v>
      </c>
      <c r="BB9" s="2">
        <v>65</v>
      </c>
      <c r="BC9" s="3">
        <v>0.37</v>
      </c>
      <c r="BD9" s="9">
        <v>0.84996303082847502</v>
      </c>
    </row>
    <row r="10" spans="1:56" x14ac:dyDescent="0.4">
      <c r="A10" s="2">
        <v>110</v>
      </c>
      <c r="B10" s="3">
        <v>0.4</v>
      </c>
      <c r="C10" s="3">
        <v>0.71233969397257613</v>
      </c>
      <c r="D10" s="3">
        <v>0.21392881958226481</v>
      </c>
      <c r="E10" s="2">
        <v>60</v>
      </c>
      <c r="F10" s="3">
        <v>0.37</v>
      </c>
      <c r="G10" s="3">
        <v>0.50721295418319678</v>
      </c>
      <c r="H10" s="3">
        <v>1</v>
      </c>
      <c r="I10" s="2">
        <v>80</v>
      </c>
      <c r="J10" s="3">
        <v>0.41</v>
      </c>
      <c r="K10" s="3">
        <v>0.61973340862463178</v>
      </c>
      <c r="L10" s="3">
        <v>0</v>
      </c>
      <c r="M10" s="2">
        <v>85</v>
      </c>
      <c r="N10" s="3">
        <v>0.36</v>
      </c>
      <c r="O10" s="3">
        <v>0</v>
      </c>
      <c r="P10" s="2">
        <v>55</v>
      </c>
      <c r="Q10" s="3">
        <v>0.44</v>
      </c>
      <c r="R10" s="3">
        <v>1</v>
      </c>
      <c r="S10" s="2">
        <v>60</v>
      </c>
      <c r="T10" s="3">
        <v>0.37</v>
      </c>
      <c r="U10" s="3">
        <v>0</v>
      </c>
      <c r="V10" s="2">
        <v>60</v>
      </c>
      <c r="W10" s="3">
        <v>0.39</v>
      </c>
      <c r="X10" s="3">
        <v>0.47553616923415215</v>
      </c>
      <c r="Y10" s="4">
        <v>3.7146782984595106</v>
      </c>
      <c r="Z10" s="4">
        <v>0.56499999999999995</v>
      </c>
      <c r="AA10" s="4">
        <v>8</v>
      </c>
      <c r="AC10" s="4">
        <v>0.04</v>
      </c>
      <c r="AD10" s="4">
        <v>0.79603453789574663</v>
      </c>
      <c r="AE10" s="4">
        <v>0.53151272759777224</v>
      </c>
      <c r="AF10" s="4">
        <v>248.92</v>
      </c>
      <c r="AG10" s="4">
        <v>3127</v>
      </c>
      <c r="AH10" s="4">
        <v>1662.0402991982339</v>
      </c>
      <c r="AJ10" s="4">
        <v>1</v>
      </c>
      <c r="AK10" s="4">
        <v>0.86927739665905035</v>
      </c>
      <c r="AL10" s="4">
        <v>1</v>
      </c>
      <c r="AM10" s="4">
        <v>0.96686689796862846</v>
      </c>
      <c r="AN10" s="4">
        <v>0.91172573830162817</v>
      </c>
      <c r="AO10" s="4">
        <v>0.04</v>
      </c>
      <c r="AP10" t="e">
        <f t="shared" si="0"/>
        <v>#DIV/0!</v>
      </c>
      <c r="AU10" s="6">
        <f t="shared" si="1"/>
        <v>8</v>
      </c>
      <c r="AV10" s="2">
        <v>110</v>
      </c>
      <c r="AW10" s="3">
        <v>0.4</v>
      </c>
      <c r="AX10" s="3">
        <v>0.71233969397257613</v>
      </c>
      <c r="AY10" s="2">
        <v>60</v>
      </c>
      <c r="AZ10" s="3">
        <v>0.37</v>
      </c>
      <c r="BA10" s="3">
        <v>0.50721295418319678</v>
      </c>
      <c r="BB10" s="2">
        <v>80</v>
      </c>
      <c r="BC10" s="3">
        <v>0.41</v>
      </c>
      <c r="BD10" s="9">
        <v>0.61973340862463178</v>
      </c>
    </row>
    <row r="11" spans="1:56" x14ac:dyDescent="0.4">
      <c r="A11" s="2">
        <v>95</v>
      </c>
      <c r="B11" s="3">
        <v>0.41</v>
      </c>
      <c r="C11" s="3">
        <v>0.63144370298848773</v>
      </c>
      <c r="D11" s="3">
        <v>0.8421052631578948</v>
      </c>
      <c r="E11" s="2">
        <v>60</v>
      </c>
      <c r="F11" s="3">
        <v>0.38</v>
      </c>
      <c r="G11" s="3">
        <v>0.53315013055751237</v>
      </c>
      <c r="H11" s="3">
        <v>1</v>
      </c>
      <c r="I11" s="2">
        <v>90</v>
      </c>
      <c r="J11" s="3">
        <v>0.43</v>
      </c>
      <c r="K11" s="3">
        <v>0.7338378812760058</v>
      </c>
      <c r="L11" s="3">
        <v>0</v>
      </c>
      <c r="M11" s="2">
        <v>33</v>
      </c>
      <c r="N11" s="3">
        <v>0.38</v>
      </c>
      <c r="O11" s="3">
        <v>0</v>
      </c>
      <c r="P11" s="2">
        <v>55</v>
      </c>
      <c r="Q11" s="3">
        <v>0.47</v>
      </c>
      <c r="R11" s="3">
        <v>1</v>
      </c>
      <c r="S11" s="2">
        <v>60</v>
      </c>
      <c r="T11" s="3">
        <v>0.39</v>
      </c>
      <c r="U11" s="3">
        <v>0</v>
      </c>
      <c r="V11" s="2">
        <v>85</v>
      </c>
      <c r="W11" s="3">
        <v>0.42</v>
      </c>
      <c r="X11" s="3">
        <v>1</v>
      </c>
      <c r="Y11" s="4">
        <v>5.9499999999999993</v>
      </c>
      <c r="Z11" s="4">
        <v>0.58931788623235537</v>
      </c>
      <c r="AA11" s="4">
        <v>9</v>
      </c>
      <c r="AC11" s="4">
        <v>4.4999999999999998E-2</v>
      </c>
      <c r="AD11" s="4">
        <v>0.79603453789574663</v>
      </c>
      <c r="AE11" s="4">
        <v>0.53151272759777224</v>
      </c>
      <c r="AF11" s="4">
        <v>248.92</v>
      </c>
      <c r="AG11" s="4">
        <v>3127</v>
      </c>
      <c r="AH11" s="4">
        <v>1662.0402991982339</v>
      </c>
      <c r="AJ11" s="4">
        <v>1</v>
      </c>
      <c r="AK11" s="4">
        <v>0.86927739665905035</v>
      </c>
      <c r="AL11" s="4">
        <v>1</v>
      </c>
      <c r="AM11" s="4">
        <v>0.96686689796862846</v>
      </c>
      <c r="AN11" s="4">
        <v>0.91172573830162817</v>
      </c>
      <c r="AO11" s="4">
        <v>4.4999999999999998E-2</v>
      </c>
      <c r="AP11" t="e">
        <f t="shared" si="0"/>
        <v>#DIV/0!</v>
      </c>
      <c r="AU11" s="6">
        <f t="shared" si="1"/>
        <v>9</v>
      </c>
      <c r="AV11" s="2">
        <v>95</v>
      </c>
      <c r="AW11" s="3">
        <v>0.41</v>
      </c>
      <c r="AX11" s="3">
        <v>0.63144370298848773</v>
      </c>
      <c r="AY11" s="2">
        <v>60</v>
      </c>
      <c r="AZ11" s="3">
        <v>0.38</v>
      </c>
      <c r="BA11" s="3">
        <v>0.53315013055751237</v>
      </c>
      <c r="BB11" s="2">
        <v>90</v>
      </c>
      <c r="BC11" s="3">
        <v>0.43</v>
      </c>
      <c r="BD11" s="9">
        <v>0.7338378812760058</v>
      </c>
    </row>
    <row r="12" spans="1:56" x14ac:dyDescent="0.4">
      <c r="A12" s="2">
        <v>120</v>
      </c>
      <c r="B12" s="3">
        <v>0.44</v>
      </c>
      <c r="C12" s="3">
        <v>0.21951130598434784</v>
      </c>
      <c r="D12" s="3">
        <v>0</v>
      </c>
      <c r="E12" s="2">
        <v>60</v>
      </c>
      <c r="F12" s="3">
        <v>0.36</v>
      </c>
      <c r="G12" s="3">
        <v>0.31967158380051036</v>
      </c>
      <c r="H12" s="3">
        <v>0.51902597223584734</v>
      </c>
      <c r="I12" s="2">
        <v>70</v>
      </c>
      <c r="J12" s="3">
        <v>0.46</v>
      </c>
      <c r="K12" s="3">
        <v>0.67414155977287482</v>
      </c>
      <c r="L12" s="3">
        <v>1</v>
      </c>
      <c r="M12" s="2">
        <v>30</v>
      </c>
      <c r="N12" s="3">
        <v>0.51</v>
      </c>
      <c r="O12" s="3">
        <v>1</v>
      </c>
      <c r="P12" s="2">
        <v>55</v>
      </c>
      <c r="Q12" s="3">
        <v>0.49</v>
      </c>
      <c r="R12" s="3">
        <v>0.11166469698456083</v>
      </c>
      <c r="S12" s="2">
        <v>60</v>
      </c>
      <c r="T12" s="3">
        <v>0.36</v>
      </c>
      <c r="U12" s="3">
        <v>0</v>
      </c>
      <c r="V12" s="2">
        <v>65</v>
      </c>
      <c r="W12" s="3">
        <v>0.59</v>
      </c>
      <c r="X12" s="3">
        <v>1</v>
      </c>
      <c r="Y12" s="4">
        <v>13.24840258343961</v>
      </c>
      <c r="Z12" s="4">
        <v>0.56499999999999995</v>
      </c>
      <c r="AA12" s="4">
        <v>10</v>
      </c>
      <c r="AC12" s="4">
        <v>0.05</v>
      </c>
      <c r="AD12" s="4">
        <v>0.79603453789574663</v>
      </c>
      <c r="AE12" s="4">
        <v>0.53151272759777224</v>
      </c>
      <c r="AF12" s="4">
        <v>248.92</v>
      </c>
      <c r="AG12" s="4">
        <v>3127</v>
      </c>
      <c r="AH12" s="4">
        <v>1662.0402991982339</v>
      </c>
      <c r="AJ12" s="4">
        <v>1</v>
      </c>
      <c r="AK12" s="4">
        <v>0.86927739665905035</v>
      </c>
      <c r="AL12" s="4">
        <v>1</v>
      </c>
      <c r="AM12" s="4">
        <v>0.96686689796862846</v>
      </c>
      <c r="AN12" s="4">
        <v>0.91172573830162817</v>
      </c>
      <c r="AO12" s="4">
        <v>0.05</v>
      </c>
      <c r="AP12" t="e">
        <f t="shared" si="0"/>
        <v>#DIV/0!</v>
      </c>
      <c r="AU12" s="6">
        <f t="shared" si="1"/>
        <v>10</v>
      </c>
      <c r="AV12" s="2">
        <v>120</v>
      </c>
      <c r="AW12" s="3">
        <v>0.44</v>
      </c>
      <c r="AX12" s="3">
        <v>0.21951130598434784</v>
      </c>
      <c r="AY12" s="2">
        <v>60</v>
      </c>
      <c r="AZ12" s="3">
        <v>0.36</v>
      </c>
      <c r="BA12" s="3">
        <v>0.31967158380051036</v>
      </c>
      <c r="BB12" s="2">
        <v>70</v>
      </c>
      <c r="BC12" s="3">
        <v>0.46</v>
      </c>
      <c r="BD12" s="9">
        <v>0.67414155977287482</v>
      </c>
    </row>
    <row r="13" spans="1:56" x14ac:dyDescent="0.4">
      <c r="A13" s="2">
        <v>90</v>
      </c>
      <c r="B13" s="3">
        <v>0.49</v>
      </c>
      <c r="C13" s="3">
        <v>0.6579923466331854</v>
      </c>
      <c r="D13" s="3">
        <v>0</v>
      </c>
      <c r="E13" s="2">
        <v>60</v>
      </c>
      <c r="F13" s="3">
        <v>0.35</v>
      </c>
      <c r="G13" s="3">
        <v>0.75793802928150988</v>
      </c>
      <c r="H13" s="3">
        <v>1</v>
      </c>
      <c r="I13" s="2">
        <v>90</v>
      </c>
      <c r="J13" s="3">
        <v>0.48</v>
      </c>
      <c r="K13" s="3">
        <v>0.80843561388144669</v>
      </c>
      <c r="L13" s="3">
        <v>0</v>
      </c>
      <c r="M13" s="2">
        <v>35</v>
      </c>
      <c r="N13" s="3">
        <v>0.41</v>
      </c>
      <c r="O13" s="3">
        <v>0.4285714285714286</v>
      </c>
      <c r="P13" s="2">
        <v>40</v>
      </c>
      <c r="Q13" s="3">
        <v>0.41</v>
      </c>
      <c r="R13" s="3">
        <v>0</v>
      </c>
      <c r="S13" s="2">
        <v>60</v>
      </c>
      <c r="T13" s="3">
        <v>0.38</v>
      </c>
      <c r="U13" s="3">
        <v>0</v>
      </c>
      <c r="V13" s="2">
        <v>45</v>
      </c>
      <c r="W13" s="3">
        <v>0.57999999999999996</v>
      </c>
      <c r="X13" s="3">
        <v>1</v>
      </c>
      <c r="Y13" s="4">
        <v>11.249999999999998</v>
      </c>
      <c r="Z13" s="4">
        <v>0.75793802928150988</v>
      </c>
      <c r="AA13" s="4">
        <v>11</v>
      </c>
      <c r="AC13" s="4">
        <v>5.5E-2</v>
      </c>
      <c r="AD13" s="4">
        <v>0.79603453789574663</v>
      </c>
      <c r="AE13" s="4">
        <v>0.53151272759777224</v>
      </c>
      <c r="AF13" s="4">
        <v>248.92</v>
      </c>
      <c r="AG13" s="4">
        <v>3127</v>
      </c>
      <c r="AH13" s="4">
        <v>1662.0402991982339</v>
      </c>
      <c r="AJ13" s="4">
        <v>1</v>
      </c>
      <c r="AK13" s="4">
        <v>0.86927739665905035</v>
      </c>
      <c r="AL13" s="4">
        <v>1</v>
      </c>
      <c r="AM13" s="4">
        <v>0.96686689796862846</v>
      </c>
      <c r="AN13" s="4">
        <v>0.91172573830162817</v>
      </c>
      <c r="AO13" s="4">
        <v>5.5E-2</v>
      </c>
      <c r="AP13" t="e">
        <f t="shared" si="0"/>
        <v>#DIV/0!</v>
      </c>
      <c r="AU13" s="6">
        <f t="shared" si="1"/>
        <v>11</v>
      </c>
      <c r="AV13" s="2">
        <v>90</v>
      </c>
      <c r="AW13" s="3">
        <v>0.49</v>
      </c>
      <c r="AX13" s="3">
        <v>0.6579923466331854</v>
      </c>
      <c r="AY13" s="2">
        <v>60</v>
      </c>
      <c r="AZ13" s="3">
        <v>0.35</v>
      </c>
      <c r="BA13" s="3">
        <v>0.75793802928150988</v>
      </c>
      <c r="BB13" s="2">
        <v>90</v>
      </c>
      <c r="BC13" s="3">
        <v>0.48</v>
      </c>
      <c r="BD13" s="9">
        <v>0.80843561388144669</v>
      </c>
    </row>
    <row r="14" spans="1:56" x14ac:dyDescent="0.4">
      <c r="A14" s="2">
        <v>110</v>
      </c>
      <c r="B14" s="3">
        <v>0.36</v>
      </c>
      <c r="C14" s="3">
        <v>0.42704042249461055</v>
      </c>
      <c r="D14" s="3">
        <v>0.46219088607283532</v>
      </c>
      <c r="E14" s="2">
        <v>75</v>
      </c>
      <c r="F14" s="3">
        <v>0.38</v>
      </c>
      <c r="G14" s="3">
        <v>0.6466190539456198</v>
      </c>
      <c r="H14" s="3">
        <v>1</v>
      </c>
      <c r="I14" s="2">
        <v>60</v>
      </c>
      <c r="J14" s="3">
        <v>0.41</v>
      </c>
      <c r="K14" s="3">
        <v>0.58779357049477643</v>
      </c>
      <c r="L14" s="3">
        <v>0.65265004219980194</v>
      </c>
      <c r="M14" s="2">
        <v>35</v>
      </c>
      <c r="N14" s="3">
        <v>0.56000000000000005</v>
      </c>
      <c r="O14" s="3">
        <v>1</v>
      </c>
      <c r="P14" s="2">
        <v>50</v>
      </c>
      <c r="Q14" s="3">
        <v>0.36</v>
      </c>
      <c r="R14" s="3">
        <v>0</v>
      </c>
      <c r="S14" s="2">
        <v>60</v>
      </c>
      <c r="T14" s="3">
        <v>0.56999999999999995</v>
      </c>
      <c r="U14" s="3">
        <v>1</v>
      </c>
      <c r="V14" s="2">
        <v>70</v>
      </c>
      <c r="W14" s="3">
        <v>0.54</v>
      </c>
      <c r="X14" s="3">
        <v>1</v>
      </c>
      <c r="Y14" s="4">
        <v>28.742049873400596</v>
      </c>
      <c r="Z14" s="4">
        <v>0.56499999999999995</v>
      </c>
      <c r="AA14" s="4">
        <v>12</v>
      </c>
      <c r="AC14" s="4">
        <v>0.06</v>
      </c>
      <c r="AD14" s="4">
        <v>0.79603453789574663</v>
      </c>
      <c r="AE14" s="4">
        <v>0.53151272759777224</v>
      </c>
      <c r="AF14" s="4">
        <v>248.92</v>
      </c>
      <c r="AG14" s="4">
        <v>3127</v>
      </c>
      <c r="AH14" s="4">
        <v>1662.0402991982339</v>
      </c>
      <c r="AJ14" s="4">
        <v>1</v>
      </c>
      <c r="AK14" s="4">
        <v>0.86927739665905035</v>
      </c>
      <c r="AL14" s="4">
        <v>1</v>
      </c>
      <c r="AM14" s="4">
        <v>0.96686689796862846</v>
      </c>
      <c r="AN14" s="4">
        <v>0.91172573830162817</v>
      </c>
      <c r="AO14" s="4">
        <v>0.06</v>
      </c>
      <c r="AP14" t="e">
        <f t="shared" si="0"/>
        <v>#DIV/0!</v>
      </c>
      <c r="AU14" s="6">
        <f t="shared" si="1"/>
        <v>12</v>
      </c>
      <c r="AV14" s="2">
        <v>110</v>
      </c>
      <c r="AW14" s="3">
        <v>0.36</v>
      </c>
      <c r="AX14" s="3">
        <v>0.42704042249461055</v>
      </c>
      <c r="AY14" s="2">
        <v>75</v>
      </c>
      <c r="AZ14" s="3">
        <v>0.38</v>
      </c>
      <c r="BA14" s="3">
        <v>0.6466190539456198</v>
      </c>
      <c r="BB14" s="2">
        <v>60</v>
      </c>
      <c r="BC14" s="3">
        <v>0.41</v>
      </c>
      <c r="BD14" s="9">
        <v>0.58779357049477643</v>
      </c>
    </row>
    <row r="15" spans="1:56" x14ac:dyDescent="0.4">
      <c r="A15" s="2">
        <v>95</v>
      </c>
      <c r="B15" s="3">
        <v>0.36</v>
      </c>
      <c r="C15" s="3">
        <v>0.34819451268103435</v>
      </c>
      <c r="D15" s="3">
        <v>0.37468226019748557</v>
      </c>
      <c r="E15" s="2">
        <v>80</v>
      </c>
      <c r="F15" s="3">
        <v>0.38</v>
      </c>
      <c r="G15" s="3">
        <v>0.53860716808302966</v>
      </c>
      <c r="H15" s="3">
        <v>0.18006481601548591</v>
      </c>
      <c r="I15" s="2">
        <v>60</v>
      </c>
      <c r="J15" s="3">
        <v>0.34</v>
      </c>
      <c r="K15" s="3">
        <v>0.69995574641649738</v>
      </c>
      <c r="L15" s="3">
        <v>1</v>
      </c>
      <c r="M15" s="2">
        <v>40</v>
      </c>
      <c r="N15" s="3">
        <v>0.41</v>
      </c>
      <c r="O15" s="3">
        <v>1</v>
      </c>
      <c r="P15" s="2">
        <v>60</v>
      </c>
      <c r="Q15" s="3">
        <v>0.37</v>
      </c>
      <c r="R15" s="3">
        <v>0</v>
      </c>
      <c r="S15" s="2">
        <v>65</v>
      </c>
      <c r="T15" s="3">
        <v>0.36</v>
      </c>
      <c r="U15" s="3">
        <v>0</v>
      </c>
      <c r="V15" s="2">
        <v>70</v>
      </c>
      <c r="W15" s="3">
        <v>0.52</v>
      </c>
      <c r="X15" s="3">
        <v>1</v>
      </c>
      <c r="Y15" s="4">
        <v>14.111896294375214</v>
      </c>
      <c r="Z15" s="4">
        <v>0.56499999999999995</v>
      </c>
      <c r="AA15" s="4">
        <v>13</v>
      </c>
      <c r="AC15" s="4">
        <v>6.5000000000000002E-2</v>
      </c>
      <c r="AD15" s="4">
        <v>0.79603453789574663</v>
      </c>
      <c r="AE15" s="4">
        <v>0.53151272759777224</v>
      </c>
      <c r="AF15" s="4">
        <v>248.92</v>
      </c>
      <c r="AG15" s="4">
        <v>3127</v>
      </c>
      <c r="AH15" s="4">
        <v>1662.0402991982339</v>
      </c>
      <c r="AJ15" s="4">
        <v>1</v>
      </c>
      <c r="AK15" s="4">
        <v>0.86927739665905035</v>
      </c>
      <c r="AL15" s="4">
        <v>1</v>
      </c>
      <c r="AM15" s="4">
        <v>0.96686689796862846</v>
      </c>
      <c r="AN15" s="4">
        <v>0.91172573830162817</v>
      </c>
      <c r="AO15" s="4">
        <v>6.5000000000000002E-2</v>
      </c>
      <c r="AP15" t="e">
        <f t="shared" si="0"/>
        <v>#DIV/0!</v>
      </c>
      <c r="AU15" s="6">
        <f t="shared" si="1"/>
        <v>13</v>
      </c>
      <c r="AV15" s="2">
        <v>95</v>
      </c>
      <c r="AW15" s="3">
        <v>0.36</v>
      </c>
      <c r="AX15" s="3">
        <v>0.34819451268103435</v>
      </c>
      <c r="AY15" s="2">
        <v>80</v>
      </c>
      <c r="AZ15" s="3">
        <v>0.38</v>
      </c>
      <c r="BA15" s="3">
        <v>0.53860716808302966</v>
      </c>
      <c r="BB15" s="2">
        <v>60</v>
      </c>
      <c r="BC15" s="3">
        <v>0.34</v>
      </c>
      <c r="BD15" s="9">
        <v>0.69995574641649738</v>
      </c>
    </row>
    <row r="16" spans="1:56" x14ac:dyDescent="0.4">
      <c r="A16" s="2">
        <v>120</v>
      </c>
      <c r="B16" s="3">
        <v>0.4</v>
      </c>
      <c r="C16" s="3">
        <v>0.42597429038260959</v>
      </c>
      <c r="D16" s="3">
        <v>0.125</v>
      </c>
      <c r="E16" s="2">
        <v>100</v>
      </c>
      <c r="F16" s="3">
        <v>0.41</v>
      </c>
      <c r="G16" s="3">
        <v>0.75112985400952281</v>
      </c>
      <c r="H16" s="3">
        <v>0</v>
      </c>
      <c r="I16" s="2">
        <v>60</v>
      </c>
      <c r="J16" s="3">
        <v>0.36</v>
      </c>
      <c r="K16" s="3">
        <v>0.75195270211122234</v>
      </c>
      <c r="L16" s="3">
        <v>1</v>
      </c>
      <c r="M16" s="2">
        <v>40</v>
      </c>
      <c r="N16" s="3">
        <v>0.37</v>
      </c>
      <c r="O16" s="3">
        <v>0</v>
      </c>
      <c r="P16" s="2">
        <v>45</v>
      </c>
      <c r="Q16" s="3">
        <v>0.4</v>
      </c>
      <c r="R16" s="3">
        <v>0</v>
      </c>
      <c r="S16" s="2">
        <v>70</v>
      </c>
      <c r="T16" s="3">
        <v>0.37</v>
      </c>
      <c r="U16" s="3">
        <v>0</v>
      </c>
      <c r="V16" s="2">
        <v>75</v>
      </c>
      <c r="W16" s="3">
        <v>0.48</v>
      </c>
      <c r="X16" s="3">
        <v>1</v>
      </c>
      <c r="Y16" s="4">
        <v>8.4000000000000021</v>
      </c>
      <c r="Z16" s="4">
        <v>0.68675701976549985</v>
      </c>
      <c r="AA16" s="4">
        <v>14</v>
      </c>
      <c r="AC16" s="4">
        <v>7.0000000000000007E-2</v>
      </c>
      <c r="AD16" s="4">
        <v>0.79603453789574663</v>
      </c>
      <c r="AE16" s="4">
        <v>0.53151272759777224</v>
      </c>
      <c r="AF16" s="4">
        <v>248.92</v>
      </c>
      <c r="AG16" s="4">
        <v>3127</v>
      </c>
      <c r="AH16" s="4">
        <v>1662.0402991982339</v>
      </c>
      <c r="AJ16" s="4">
        <v>1</v>
      </c>
      <c r="AK16" s="4">
        <v>0.86927739665905035</v>
      </c>
      <c r="AL16" s="4">
        <v>1</v>
      </c>
      <c r="AM16" s="4">
        <v>0.96686689796862846</v>
      </c>
      <c r="AN16" s="4">
        <v>0.91172573830162817</v>
      </c>
      <c r="AO16" s="4">
        <v>7.0000000000000007E-2</v>
      </c>
      <c r="AP16" t="e">
        <f t="shared" si="0"/>
        <v>#DIV/0!</v>
      </c>
      <c r="AU16" s="6">
        <f t="shared" si="1"/>
        <v>14</v>
      </c>
      <c r="AV16" s="2">
        <v>120</v>
      </c>
      <c r="AW16" s="3">
        <v>0.4</v>
      </c>
      <c r="AX16" s="3">
        <v>0.42597429038260959</v>
      </c>
      <c r="AY16" s="2">
        <v>100</v>
      </c>
      <c r="AZ16" s="3">
        <v>0.41</v>
      </c>
      <c r="BA16" s="3">
        <v>0.75112985400952281</v>
      </c>
      <c r="BB16" s="2">
        <v>60</v>
      </c>
      <c r="BC16" s="3">
        <v>0.36</v>
      </c>
      <c r="BD16" s="9">
        <v>0.75195270211122234</v>
      </c>
    </row>
    <row r="17" spans="1:56" x14ac:dyDescent="0.4">
      <c r="A17" s="2">
        <v>90</v>
      </c>
      <c r="B17" s="3">
        <v>0.4</v>
      </c>
      <c r="C17" s="3">
        <v>0.33400339417002251</v>
      </c>
      <c r="D17" s="3">
        <v>0</v>
      </c>
      <c r="E17" s="2">
        <v>90</v>
      </c>
      <c r="F17" s="3">
        <v>0.35</v>
      </c>
      <c r="G17" s="3">
        <v>0.44294835811463018</v>
      </c>
      <c r="H17" s="3">
        <v>0.9229453244906286</v>
      </c>
      <c r="I17" s="2">
        <v>60</v>
      </c>
      <c r="J17" s="3">
        <v>0.38</v>
      </c>
      <c r="K17" s="3">
        <v>0.80676102178808662</v>
      </c>
      <c r="L17" s="3">
        <v>0.69891534659739052</v>
      </c>
      <c r="M17" s="2">
        <v>35</v>
      </c>
      <c r="N17" s="3">
        <v>0.35</v>
      </c>
      <c r="O17" s="3">
        <v>0</v>
      </c>
      <c r="P17" s="2">
        <v>45</v>
      </c>
      <c r="Q17" s="3">
        <v>0.36</v>
      </c>
      <c r="R17" s="3">
        <v>0</v>
      </c>
      <c r="S17" s="2">
        <v>60</v>
      </c>
      <c r="T17" s="3">
        <v>0.38</v>
      </c>
      <c r="U17" s="3">
        <v>1</v>
      </c>
      <c r="V17" s="2">
        <v>65</v>
      </c>
      <c r="W17" s="3">
        <v>0.46</v>
      </c>
      <c r="X17" s="3">
        <v>1</v>
      </c>
      <c r="Y17" s="4">
        <v>7.6919523761247035</v>
      </c>
      <c r="Z17" s="4">
        <v>0.56499999999999995</v>
      </c>
      <c r="AA17" s="4">
        <v>15</v>
      </c>
      <c r="AC17" s="4">
        <v>7.4999999999999997E-2</v>
      </c>
      <c r="AD17" s="4">
        <v>0.79603453789574663</v>
      </c>
      <c r="AE17" s="4">
        <v>0.53151272759777224</v>
      </c>
      <c r="AF17" s="4">
        <v>248.92</v>
      </c>
      <c r="AG17" s="4">
        <v>3127</v>
      </c>
      <c r="AH17" s="4">
        <v>1662.0402991982339</v>
      </c>
      <c r="AJ17" s="4">
        <v>1</v>
      </c>
      <c r="AK17" s="4">
        <v>0.86927739665905035</v>
      </c>
      <c r="AL17" s="4">
        <v>1</v>
      </c>
      <c r="AM17" s="4">
        <v>0.96686689796862846</v>
      </c>
      <c r="AN17" s="4">
        <v>0.91172573830162817</v>
      </c>
      <c r="AO17" s="4">
        <v>7.4999999999999997E-2</v>
      </c>
      <c r="AP17" t="e">
        <f t="shared" si="0"/>
        <v>#DIV/0!</v>
      </c>
      <c r="AU17" s="6">
        <f t="shared" si="1"/>
        <v>15</v>
      </c>
      <c r="AV17" s="2">
        <v>90</v>
      </c>
      <c r="AW17" s="3">
        <v>0.4</v>
      </c>
      <c r="AX17" s="3">
        <v>0.33400339417002251</v>
      </c>
      <c r="AY17" s="2">
        <v>90</v>
      </c>
      <c r="AZ17" s="3">
        <v>0.35</v>
      </c>
      <c r="BA17" s="3">
        <v>0.44294835811463018</v>
      </c>
      <c r="BB17" s="2">
        <v>60</v>
      </c>
      <c r="BC17" s="3">
        <v>0.38</v>
      </c>
      <c r="BD17" s="9">
        <v>0.80676102178808662</v>
      </c>
    </row>
    <row r="18" spans="1:56" x14ac:dyDescent="0.4">
      <c r="A18" s="2">
        <v>100</v>
      </c>
      <c r="B18" s="3">
        <v>0.35</v>
      </c>
      <c r="C18" s="3">
        <v>0.3420855651783688</v>
      </c>
      <c r="D18" s="3">
        <v>0.11335847777046261</v>
      </c>
      <c r="E18" s="2">
        <v>65</v>
      </c>
      <c r="F18" s="3">
        <v>0.35</v>
      </c>
      <c r="G18" s="3">
        <v>0.60387575539145089</v>
      </c>
      <c r="H18" s="3">
        <v>1</v>
      </c>
      <c r="I18" s="2">
        <v>80</v>
      </c>
      <c r="J18" s="3">
        <v>0.49</v>
      </c>
      <c r="K18" s="3">
        <v>0.85112118955039506</v>
      </c>
      <c r="L18" s="3">
        <v>0</v>
      </c>
      <c r="M18" s="2">
        <v>60</v>
      </c>
      <c r="N18" s="3">
        <v>0.38</v>
      </c>
      <c r="O18" s="3">
        <v>0.18893079628410436</v>
      </c>
      <c r="P18" s="2">
        <v>40</v>
      </c>
      <c r="Q18" s="3">
        <v>0.37</v>
      </c>
      <c r="R18" s="3">
        <v>0</v>
      </c>
      <c r="S18" s="2">
        <v>60</v>
      </c>
      <c r="T18" s="3">
        <v>0.34</v>
      </c>
      <c r="U18" s="3">
        <v>0</v>
      </c>
      <c r="V18" s="2">
        <v>65</v>
      </c>
      <c r="W18" s="3">
        <v>0.39</v>
      </c>
      <c r="X18" s="3">
        <v>1</v>
      </c>
      <c r="Y18" s="4">
        <v>2.9400754333113923</v>
      </c>
      <c r="Z18" s="4">
        <v>0.56499999999999995</v>
      </c>
      <c r="AA18" s="4">
        <v>16</v>
      </c>
      <c r="AC18" s="4">
        <v>0.08</v>
      </c>
      <c r="AD18" s="4">
        <v>0.79603453789574663</v>
      </c>
      <c r="AE18" s="4">
        <v>0.53151272759777224</v>
      </c>
      <c r="AF18" s="4">
        <v>248.92</v>
      </c>
      <c r="AG18" s="4">
        <v>3127</v>
      </c>
      <c r="AH18" s="4">
        <v>1662.0402991982339</v>
      </c>
      <c r="AJ18" s="4">
        <v>1</v>
      </c>
      <c r="AK18" s="4">
        <v>0.86927739665905035</v>
      </c>
      <c r="AL18" s="4">
        <v>1</v>
      </c>
      <c r="AM18" s="4">
        <v>0.96686689796862846</v>
      </c>
      <c r="AN18" s="4">
        <v>0.91172573830162817</v>
      </c>
      <c r="AO18" s="4">
        <v>0.08</v>
      </c>
      <c r="AP18" t="e">
        <f t="shared" si="0"/>
        <v>#DIV/0!</v>
      </c>
      <c r="AU18" s="6">
        <f t="shared" si="1"/>
        <v>16</v>
      </c>
      <c r="AV18" s="2">
        <v>100</v>
      </c>
      <c r="AW18" s="3">
        <v>0.35</v>
      </c>
      <c r="AX18" s="3">
        <v>0.3420855651783688</v>
      </c>
      <c r="AY18" s="2">
        <v>65</v>
      </c>
      <c r="AZ18" s="3">
        <v>0.35</v>
      </c>
      <c r="BA18" s="3">
        <v>0.60387575539145089</v>
      </c>
      <c r="BB18" s="2">
        <v>80</v>
      </c>
      <c r="BC18" s="3">
        <v>0.49</v>
      </c>
      <c r="BD18" s="9">
        <v>0.85112118955039506</v>
      </c>
    </row>
    <row r="19" spans="1:56" x14ac:dyDescent="0.4">
      <c r="A19" s="2">
        <v>140</v>
      </c>
      <c r="B19" s="3">
        <v>0.36</v>
      </c>
      <c r="C19" s="3">
        <v>0.50346976077854644</v>
      </c>
      <c r="D19" s="3">
        <v>0.55392873323581626</v>
      </c>
      <c r="E19" s="2">
        <v>65</v>
      </c>
      <c r="F19" s="3">
        <v>0.35</v>
      </c>
      <c r="G19" s="3">
        <v>0.5899552958392642</v>
      </c>
      <c r="H19" s="3">
        <v>1</v>
      </c>
      <c r="I19" s="2">
        <v>70</v>
      </c>
      <c r="J19" s="3">
        <v>0.44</v>
      </c>
      <c r="K19" s="3">
        <v>0.70529311331754252</v>
      </c>
      <c r="L19" s="3">
        <v>0.32071396209979586</v>
      </c>
      <c r="M19" s="2">
        <v>60</v>
      </c>
      <c r="N19" s="3">
        <v>0.37</v>
      </c>
      <c r="O19" s="3">
        <v>0</v>
      </c>
      <c r="P19" s="2">
        <v>45</v>
      </c>
      <c r="Q19" s="3">
        <v>0.46</v>
      </c>
      <c r="R19" s="3">
        <v>1</v>
      </c>
      <c r="S19" s="2">
        <v>55</v>
      </c>
      <c r="T19" s="3">
        <v>0.41</v>
      </c>
      <c r="U19" s="3">
        <v>1</v>
      </c>
      <c r="V19" s="2">
        <v>65</v>
      </c>
      <c r="W19" s="3">
        <v>0.42</v>
      </c>
      <c r="X19" s="3">
        <v>1</v>
      </c>
      <c r="Y19" s="4">
        <v>10.004001812241146</v>
      </c>
      <c r="Z19" s="4">
        <v>0.56499999999999995</v>
      </c>
      <c r="AA19" s="4">
        <v>17</v>
      </c>
      <c r="AC19" s="4">
        <v>8.5000000000000006E-2</v>
      </c>
      <c r="AD19" s="4">
        <v>0.79603453789574663</v>
      </c>
      <c r="AE19" s="4">
        <v>0.53151272759777224</v>
      </c>
      <c r="AF19" s="4">
        <v>248.92</v>
      </c>
      <c r="AG19" s="4">
        <v>3127</v>
      </c>
      <c r="AH19" s="4">
        <v>1662.0402991982339</v>
      </c>
      <c r="AJ19" s="4">
        <v>1</v>
      </c>
      <c r="AK19" s="4">
        <v>0.86927739665905035</v>
      </c>
      <c r="AL19" s="4">
        <v>1</v>
      </c>
      <c r="AM19" s="4">
        <v>0.96686689796862846</v>
      </c>
      <c r="AN19" s="4">
        <v>0.91172573830162817</v>
      </c>
      <c r="AO19" s="4">
        <v>8.5000000000000006E-2</v>
      </c>
      <c r="AP19" t="e">
        <f t="shared" si="0"/>
        <v>#DIV/0!</v>
      </c>
      <c r="AU19" s="6">
        <f t="shared" si="1"/>
        <v>17</v>
      </c>
      <c r="AV19" s="2">
        <v>140</v>
      </c>
      <c r="AW19" s="3">
        <v>0.36</v>
      </c>
      <c r="AX19" s="3">
        <v>0.50346976077854644</v>
      </c>
      <c r="AY19" s="2">
        <v>65</v>
      </c>
      <c r="AZ19" s="3">
        <v>0.35</v>
      </c>
      <c r="BA19" s="3">
        <v>0.5899552958392642</v>
      </c>
      <c r="BB19" s="2">
        <v>70</v>
      </c>
      <c r="BC19" s="3">
        <v>0.44</v>
      </c>
      <c r="BD19" s="9">
        <v>0.70529311331754252</v>
      </c>
    </row>
    <row r="20" spans="1:56" x14ac:dyDescent="0.4">
      <c r="A20" s="2">
        <v>130</v>
      </c>
      <c r="B20" s="3">
        <v>0.37</v>
      </c>
      <c r="C20" s="3">
        <v>0.4954034489800479</v>
      </c>
      <c r="D20" s="3">
        <v>0.58207391551143872</v>
      </c>
      <c r="E20" s="2">
        <v>65</v>
      </c>
      <c r="F20" s="3">
        <v>0.36</v>
      </c>
      <c r="G20" s="3">
        <v>0.64602067391655016</v>
      </c>
      <c r="H20" s="3">
        <v>1</v>
      </c>
      <c r="I20" s="2">
        <v>80</v>
      </c>
      <c r="J20" s="3">
        <v>0.46</v>
      </c>
      <c r="K20" s="3">
        <v>0.54754096893623905</v>
      </c>
      <c r="L20" s="3">
        <v>0</v>
      </c>
      <c r="M20" s="2">
        <v>60</v>
      </c>
      <c r="N20" s="3">
        <v>0.46</v>
      </c>
      <c r="O20" s="3">
        <v>1</v>
      </c>
      <c r="P20" s="2">
        <v>45</v>
      </c>
      <c r="Q20" s="3">
        <v>0.37</v>
      </c>
      <c r="R20" s="3">
        <v>0</v>
      </c>
      <c r="S20" s="2">
        <v>55</v>
      </c>
      <c r="T20" s="3">
        <v>0.38</v>
      </c>
      <c r="U20" s="3">
        <v>0.28490198211794593</v>
      </c>
      <c r="V20" s="2">
        <v>65</v>
      </c>
      <c r="W20" s="3">
        <v>0.47</v>
      </c>
      <c r="X20" s="3">
        <v>1</v>
      </c>
      <c r="Y20" s="4">
        <v>12.706696090164865</v>
      </c>
      <c r="Z20" s="4">
        <v>0.56499999999999995</v>
      </c>
      <c r="AA20" s="4">
        <v>18</v>
      </c>
      <c r="AC20" s="4">
        <v>0.09</v>
      </c>
      <c r="AD20" s="4">
        <v>0.79603453789574663</v>
      </c>
      <c r="AE20" s="4">
        <v>0.53151272759777224</v>
      </c>
      <c r="AF20" s="4">
        <v>248.92</v>
      </c>
      <c r="AG20" s="4">
        <v>3127</v>
      </c>
      <c r="AH20" s="4">
        <v>1662.0402991982339</v>
      </c>
      <c r="AJ20" s="4">
        <v>1</v>
      </c>
      <c r="AK20" s="4">
        <v>0.86927739665905035</v>
      </c>
      <c r="AL20" s="4">
        <v>1</v>
      </c>
      <c r="AM20" s="4">
        <v>0.96686689796862846</v>
      </c>
      <c r="AN20" s="4">
        <v>0.91172573830162817</v>
      </c>
      <c r="AO20" s="4">
        <v>0.09</v>
      </c>
      <c r="AP20" t="e">
        <f t="shared" si="0"/>
        <v>#DIV/0!</v>
      </c>
      <c r="AU20" s="6">
        <f t="shared" si="1"/>
        <v>18</v>
      </c>
      <c r="AV20" s="2">
        <v>130</v>
      </c>
      <c r="AW20" s="3">
        <v>0.37</v>
      </c>
      <c r="AX20" s="3">
        <v>0.4954034489800479</v>
      </c>
      <c r="AY20" s="2">
        <v>65</v>
      </c>
      <c r="AZ20" s="3">
        <v>0.36</v>
      </c>
      <c r="BA20" s="3">
        <v>0.64602067391655016</v>
      </c>
      <c r="BB20" s="2">
        <v>80</v>
      </c>
      <c r="BC20" s="3">
        <v>0.46</v>
      </c>
      <c r="BD20" s="9">
        <v>0.54754096893623905</v>
      </c>
    </row>
    <row r="21" spans="1:56" x14ac:dyDescent="0.4">
      <c r="A21" s="2">
        <v>100</v>
      </c>
      <c r="B21" s="3">
        <v>0.56999999999999995</v>
      </c>
      <c r="C21" s="3">
        <v>0.49621924134296136</v>
      </c>
      <c r="D21" s="3">
        <v>0</v>
      </c>
      <c r="E21" s="2">
        <v>100</v>
      </c>
      <c r="F21" s="3">
        <v>0.4</v>
      </c>
      <c r="G21" s="3">
        <v>0.64538585966374284</v>
      </c>
      <c r="H21" s="3">
        <v>1</v>
      </c>
      <c r="I21" s="2">
        <v>75</v>
      </c>
      <c r="J21" s="3">
        <v>0.45</v>
      </c>
      <c r="K21" s="3">
        <v>0.62246981627401432</v>
      </c>
      <c r="L21" s="3">
        <v>0.66666666666666652</v>
      </c>
      <c r="M21" s="2">
        <v>60</v>
      </c>
      <c r="N21" s="3">
        <v>0.54</v>
      </c>
      <c r="O21" s="3">
        <v>1</v>
      </c>
      <c r="P21" s="2">
        <v>35</v>
      </c>
      <c r="Q21" s="3">
        <v>0.56000000000000005</v>
      </c>
      <c r="R21" s="3">
        <v>1</v>
      </c>
      <c r="S21" s="2">
        <v>55</v>
      </c>
      <c r="T21" s="3">
        <v>0.54</v>
      </c>
      <c r="U21" s="3">
        <v>1</v>
      </c>
      <c r="V21" s="2">
        <v>65</v>
      </c>
      <c r="W21" s="3">
        <v>0.37</v>
      </c>
      <c r="X21" s="3">
        <v>0</v>
      </c>
      <c r="Y21" s="4">
        <v>19.20000000000001</v>
      </c>
      <c r="Z21" s="4">
        <v>0.63774717853383334</v>
      </c>
      <c r="AA21" s="4">
        <v>19</v>
      </c>
      <c r="AC21" s="4">
        <v>9.5000000000000001E-2</v>
      </c>
      <c r="AD21" s="4">
        <v>0.79603453789574663</v>
      </c>
      <c r="AE21" s="4">
        <v>0.53151272759777224</v>
      </c>
      <c r="AF21" s="4">
        <v>248.92</v>
      </c>
      <c r="AG21" s="4">
        <v>3127</v>
      </c>
      <c r="AH21" s="4">
        <v>1662.0402991982339</v>
      </c>
      <c r="AJ21" s="4">
        <v>1</v>
      </c>
      <c r="AK21" s="4">
        <v>0.86927739665905035</v>
      </c>
      <c r="AL21" s="4">
        <v>1</v>
      </c>
      <c r="AM21" s="4">
        <v>0.96686689796862846</v>
      </c>
      <c r="AN21" s="4">
        <v>0.91172573830162817</v>
      </c>
      <c r="AO21" s="4">
        <v>9.5000000000000001E-2</v>
      </c>
      <c r="AP21" t="e">
        <f t="shared" si="0"/>
        <v>#DIV/0!</v>
      </c>
      <c r="AU21" s="6">
        <f t="shared" si="1"/>
        <v>19</v>
      </c>
      <c r="AV21" s="2">
        <v>100</v>
      </c>
      <c r="AW21" s="3">
        <v>0.56999999999999995</v>
      </c>
      <c r="AX21" s="3">
        <v>0.49621924134296136</v>
      </c>
      <c r="AY21" s="2">
        <v>100</v>
      </c>
      <c r="AZ21" s="3">
        <v>0.4</v>
      </c>
      <c r="BA21" s="3">
        <v>0.64538585966374284</v>
      </c>
      <c r="BB21" s="2">
        <v>75</v>
      </c>
      <c r="BC21" s="3">
        <v>0.45</v>
      </c>
      <c r="BD21" s="9">
        <v>0.62246981627401432</v>
      </c>
    </row>
    <row r="22" spans="1:56" x14ac:dyDescent="0.4">
      <c r="A22" s="2">
        <v>90</v>
      </c>
      <c r="B22" s="3">
        <v>0.35</v>
      </c>
      <c r="C22" s="3">
        <v>0.42164971336080803</v>
      </c>
      <c r="D22" s="3">
        <v>0</v>
      </c>
      <c r="E22" s="2">
        <v>65</v>
      </c>
      <c r="F22" s="3">
        <v>0.37</v>
      </c>
      <c r="G22" s="3">
        <v>0.52761200826755439</v>
      </c>
      <c r="H22" s="3">
        <v>0.40587796560080341</v>
      </c>
      <c r="I22" s="2">
        <v>70</v>
      </c>
      <c r="J22" s="3">
        <v>0.44</v>
      </c>
      <c r="K22" s="3">
        <v>0.59054182666800137</v>
      </c>
      <c r="L22" s="3">
        <v>0.55168474622782537</v>
      </c>
      <c r="M22" s="2">
        <v>40</v>
      </c>
      <c r="N22" s="3">
        <v>0.38</v>
      </c>
      <c r="O22" s="3">
        <v>0</v>
      </c>
      <c r="P22" s="2">
        <v>50</v>
      </c>
      <c r="Q22" s="3">
        <v>0.39</v>
      </c>
      <c r="R22" s="3">
        <v>0</v>
      </c>
      <c r="S22" s="2">
        <v>60</v>
      </c>
      <c r="T22" s="3">
        <v>0.38</v>
      </c>
      <c r="U22" s="3">
        <v>0</v>
      </c>
      <c r="V22" s="2">
        <v>65</v>
      </c>
      <c r="W22" s="3">
        <v>0.43</v>
      </c>
      <c r="X22" s="3">
        <v>1</v>
      </c>
      <c r="Y22" s="4">
        <v>1.1967447434836522</v>
      </c>
      <c r="Z22" s="4">
        <v>0.56499999999999995</v>
      </c>
      <c r="AA22" s="4">
        <v>20</v>
      </c>
      <c r="AC22" s="4">
        <v>0.1</v>
      </c>
      <c r="AD22" s="4">
        <v>0.79603453789574663</v>
      </c>
      <c r="AE22" s="4">
        <v>0.53151272759777224</v>
      </c>
      <c r="AF22" s="4">
        <v>248.92</v>
      </c>
      <c r="AG22" s="4">
        <v>3127</v>
      </c>
      <c r="AH22" s="4">
        <v>1662.0402991982339</v>
      </c>
      <c r="AJ22" s="4">
        <v>1</v>
      </c>
      <c r="AK22" s="4">
        <v>0.86927739665905035</v>
      </c>
      <c r="AL22" s="4">
        <v>1</v>
      </c>
      <c r="AM22" s="4">
        <v>0.96686689796862846</v>
      </c>
      <c r="AN22" s="4">
        <v>0.91172573830162817</v>
      </c>
      <c r="AO22" s="4">
        <v>0.1</v>
      </c>
      <c r="AP22" t="e">
        <f t="shared" si="0"/>
        <v>#DIV/0!</v>
      </c>
      <c r="AU22" s="6">
        <f t="shared" si="1"/>
        <v>20</v>
      </c>
      <c r="AV22" s="2">
        <v>90</v>
      </c>
      <c r="AW22" s="3">
        <v>0.35</v>
      </c>
      <c r="AX22" s="3">
        <v>0.42164971336080803</v>
      </c>
      <c r="AY22" s="2">
        <v>65</v>
      </c>
      <c r="AZ22" s="3">
        <v>0.37</v>
      </c>
      <c r="BA22" s="3">
        <v>0.52761200826755439</v>
      </c>
      <c r="BB22" s="2">
        <v>70</v>
      </c>
      <c r="BC22" s="3">
        <v>0.44</v>
      </c>
      <c r="BD22" s="9">
        <v>0.59054182666800137</v>
      </c>
    </row>
    <row r="23" spans="1:56" x14ac:dyDescent="0.4">
      <c r="A23" s="2">
        <v>105</v>
      </c>
      <c r="B23" s="3">
        <v>0.5</v>
      </c>
      <c r="C23" s="3">
        <v>0.23375130773149622</v>
      </c>
      <c r="D23" s="3">
        <v>0</v>
      </c>
      <c r="E23" s="2">
        <v>110</v>
      </c>
      <c r="F23" s="3">
        <v>0.51</v>
      </c>
      <c r="G23" s="3">
        <v>0.61109487038037313</v>
      </c>
      <c r="H23" s="3">
        <v>0</v>
      </c>
      <c r="I23" s="2">
        <v>80</v>
      </c>
      <c r="J23" s="3">
        <v>0.38</v>
      </c>
      <c r="K23" s="3">
        <v>0.93174572240020426</v>
      </c>
      <c r="L23" s="3">
        <v>1</v>
      </c>
      <c r="M23" s="2">
        <v>30</v>
      </c>
      <c r="N23" s="3">
        <v>0.37</v>
      </c>
      <c r="O23" s="3">
        <v>0</v>
      </c>
      <c r="P23" s="2">
        <v>45</v>
      </c>
      <c r="Q23" s="3">
        <v>0.38</v>
      </c>
      <c r="R23" s="3">
        <v>0.33333333333333348</v>
      </c>
      <c r="S23" s="2">
        <v>55</v>
      </c>
      <c r="T23" s="3">
        <v>0.36</v>
      </c>
      <c r="U23" s="3">
        <v>0</v>
      </c>
      <c r="V23" s="2">
        <v>65</v>
      </c>
      <c r="W23" s="3">
        <v>0.43</v>
      </c>
      <c r="X23" s="3">
        <v>1</v>
      </c>
      <c r="Y23" s="4">
        <v>3.2500000000000036</v>
      </c>
      <c r="Z23" s="4">
        <v>0.93174572240020437</v>
      </c>
      <c r="AA23" s="4">
        <v>21</v>
      </c>
      <c r="AC23" s="4">
        <v>0.105</v>
      </c>
      <c r="AD23" s="4">
        <v>0.79603453789574663</v>
      </c>
      <c r="AE23" s="4">
        <v>0.53151272759777224</v>
      </c>
      <c r="AF23" s="4">
        <v>248.92</v>
      </c>
      <c r="AG23" s="4">
        <v>3127</v>
      </c>
      <c r="AH23" s="4">
        <v>1662.0402991982339</v>
      </c>
      <c r="AJ23" s="4">
        <v>1</v>
      </c>
      <c r="AK23" s="4">
        <v>0.86927739665905035</v>
      </c>
      <c r="AL23" s="4">
        <v>1</v>
      </c>
      <c r="AM23" s="4">
        <v>0.96686689796862846</v>
      </c>
      <c r="AN23" s="4">
        <v>0.91172573830162817</v>
      </c>
      <c r="AO23" s="4">
        <v>0.105</v>
      </c>
      <c r="AP23" t="e">
        <f t="shared" si="0"/>
        <v>#DIV/0!</v>
      </c>
      <c r="AU23" s="6">
        <f t="shared" si="1"/>
        <v>21</v>
      </c>
      <c r="AV23" s="2">
        <v>105</v>
      </c>
      <c r="AW23" s="3">
        <v>0.5</v>
      </c>
      <c r="AX23" s="3">
        <v>0.23375130773149622</v>
      </c>
      <c r="AY23" s="2">
        <v>110</v>
      </c>
      <c r="AZ23" s="3">
        <v>0.51</v>
      </c>
      <c r="BA23" s="3">
        <v>0.61109487038037313</v>
      </c>
      <c r="BB23" s="2">
        <v>80</v>
      </c>
      <c r="BC23" s="3">
        <v>0.38</v>
      </c>
      <c r="BD23" s="9">
        <v>0.93174572240020426</v>
      </c>
    </row>
    <row r="24" spans="1:56" x14ac:dyDescent="0.4">
      <c r="A24" s="2">
        <v>130</v>
      </c>
      <c r="B24" s="3">
        <v>0.48</v>
      </c>
      <c r="C24" s="3">
        <v>0.42622386513288385</v>
      </c>
      <c r="D24" s="3">
        <v>0</v>
      </c>
      <c r="E24" s="2">
        <v>85</v>
      </c>
      <c r="F24" s="3">
        <v>0.39</v>
      </c>
      <c r="G24" s="3">
        <v>0.5976120980790961</v>
      </c>
      <c r="H24" s="3">
        <v>1</v>
      </c>
      <c r="I24" s="2">
        <v>60</v>
      </c>
      <c r="J24" s="3">
        <v>0.35</v>
      </c>
      <c r="K24" s="3">
        <v>0.63513981185331059</v>
      </c>
      <c r="L24" s="3">
        <v>1</v>
      </c>
      <c r="M24" s="2">
        <v>35</v>
      </c>
      <c r="N24" s="3">
        <v>0.39</v>
      </c>
      <c r="O24" s="3">
        <v>1</v>
      </c>
      <c r="P24" s="2">
        <v>45</v>
      </c>
      <c r="Q24" s="3">
        <v>0.39</v>
      </c>
      <c r="R24" s="3">
        <v>0.88888888888888906</v>
      </c>
      <c r="S24" s="2">
        <v>60</v>
      </c>
      <c r="T24" s="3">
        <v>0.37</v>
      </c>
      <c r="U24" s="3">
        <v>0</v>
      </c>
      <c r="V24" s="2">
        <v>70</v>
      </c>
      <c r="W24" s="3">
        <v>0.43</v>
      </c>
      <c r="X24" s="3">
        <v>1</v>
      </c>
      <c r="Y24" s="4">
        <v>5.1999999999999993</v>
      </c>
      <c r="Z24" s="4">
        <v>0.61314080722704689</v>
      </c>
      <c r="AA24" s="4">
        <v>22</v>
      </c>
      <c r="AC24" s="4">
        <v>0.11</v>
      </c>
      <c r="AD24" s="4">
        <v>0.79603453789574663</v>
      </c>
      <c r="AE24" s="4">
        <v>0.53151272759777224</v>
      </c>
      <c r="AF24" s="4">
        <v>248.92</v>
      </c>
      <c r="AG24" s="4">
        <v>3127</v>
      </c>
      <c r="AH24" s="4">
        <v>1662.0402991982339</v>
      </c>
      <c r="AJ24" s="4">
        <v>1</v>
      </c>
      <c r="AK24" s="4">
        <v>0.86927739665905035</v>
      </c>
      <c r="AL24" s="4">
        <v>1</v>
      </c>
      <c r="AM24" s="4">
        <v>0.96686689796862846</v>
      </c>
      <c r="AN24" s="4">
        <v>0.91172573830162817</v>
      </c>
      <c r="AO24" s="4">
        <v>0.11</v>
      </c>
      <c r="AP24" t="e">
        <f t="shared" si="0"/>
        <v>#DIV/0!</v>
      </c>
      <c r="AU24" s="6">
        <f t="shared" si="1"/>
        <v>22</v>
      </c>
      <c r="AV24" s="2">
        <v>130</v>
      </c>
      <c r="AW24" s="3">
        <v>0.48</v>
      </c>
      <c r="AX24" s="3">
        <v>0.42622386513288385</v>
      </c>
      <c r="AY24" s="2">
        <v>85</v>
      </c>
      <c r="AZ24" s="3">
        <v>0.39</v>
      </c>
      <c r="BA24" s="3">
        <v>0.5976120980790961</v>
      </c>
      <c r="BB24" s="2">
        <v>60</v>
      </c>
      <c r="BC24" s="3">
        <v>0.35</v>
      </c>
      <c r="BD24" s="9">
        <v>0.63513981185331059</v>
      </c>
    </row>
    <row r="25" spans="1:56" x14ac:dyDescent="0.4">
      <c r="A25" s="2">
        <v>90</v>
      </c>
      <c r="B25" s="3">
        <v>0.37</v>
      </c>
      <c r="C25" s="3">
        <v>0.51752352891647291</v>
      </c>
      <c r="D25" s="3">
        <v>1</v>
      </c>
      <c r="E25" s="2">
        <v>75</v>
      </c>
      <c r="F25" s="3">
        <v>0.37</v>
      </c>
      <c r="G25" s="3">
        <v>0.67687072875287257</v>
      </c>
      <c r="H25" s="3">
        <v>0.24</v>
      </c>
      <c r="I25" s="2">
        <v>60</v>
      </c>
      <c r="J25" s="3">
        <v>0.36</v>
      </c>
      <c r="K25" s="3">
        <v>0.77150767837039846</v>
      </c>
      <c r="L25" s="3">
        <v>1</v>
      </c>
      <c r="M25" s="2">
        <v>30</v>
      </c>
      <c r="N25" s="3">
        <v>0.36</v>
      </c>
      <c r="O25" s="3">
        <v>0</v>
      </c>
      <c r="P25" s="2">
        <v>45</v>
      </c>
      <c r="Q25" s="3">
        <v>0.42</v>
      </c>
      <c r="R25" s="3">
        <v>1</v>
      </c>
      <c r="S25" s="2">
        <v>55</v>
      </c>
      <c r="T25" s="3">
        <v>0.42</v>
      </c>
      <c r="U25" s="3">
        <v>1</v>
      </c>
      <c r="V25" s="2">
        <v>68</v>
      </c>
      <c r="W25" s="3">
        <v>0.38</v>
      </c>
      <c r="X25" s="3">
        <v>1</v>
      </c>
      <c r="Y25" s="4">
        <v>6.2800000000000082</v>
      </c>
      <c r="Z25" s="4">
        <v>0.62530506798963192</v>
      </c>
      <c r="AA25" s="4">
        <v>23</v>
      </c>
      <c r="AC25" s="4">
        <v>0.115</v>
      </c>
      <c r="AD25" s="4">
        <v>0.79603453789574663</v>
      </c>
      <c r="AE25" s="4">
        <v>0.53151272759777224</v>
      </c>
      <c r="AF25" s="4">
        <v>248.92</v>
      </c>
      <c r="AG25" s="4">
        <v>3127</v>
      </c>
      <c r="AH25" s="4">
        <v>1662.0402991982339</v>
      </c>
      <c r="AJ25" s="4">
        <v>1</v>
      </c>
      <c r="AK25" s="4">
        <v>0.86927739665905035</v>
      </c>
      <c r="AL25" s="4">
        <v>1</v>
      </c>
      <c r="AM25" s="4">
        <v>0.96686689796862846</v>
      </c>
      <c r="AN25" s="4">
        <v>0.91172573830162817</v>
      </c>
      <c r="AO25" s="4">
        <v>0.115</v>
      </c>
      <c r="AP25" t="e">
        <f t="shared" si="0"/>
        <v>#DIV/0!</v>
      </c>
      <c r="AU25" s="7">
        <f t="shared" si="1"/>
        <v>23</v>
      </c>
      <c r="AV25" s="10">
        <v>90</v>
      </c>
      <c r="AW25" s="11">
        <v>0.37</v>
      </c>
      <c r="AX25" s="11">
        <v>0.51752352891647291</v>
      </c>
      <c r="AY25" s="10">
        <v>75</v>
      </c>
      <c r="AZ25" s="11">
        <v>0.37</v>
      </c>
      <c r="BA25" s="11">
        <v>0.67687072875287257</v>
      </c>
      <c r="BB25" s="10">
        <v>60</v>
      </c>
      <c r="BC25" s="11">
        <v>0.36</v>
      </c>
      <c r="BD25" s="12">
        <v>0.77150767837039846</v>
      </c>
    </row>
    <row r="26" spans="1:56" x14ac:dyDescent="0.4">
      <c r="Y26" s="2">
        <f>SUM(Y2:Y25)</f>
        <v>212.26065645761716</v>
      </c>
      <c r="AA26" s="4"/>
      <c r="AC26" s="4">
        <v>0.12</v>
      </c>
      <c r="AD26" s="4">
        <v>0.79603453789574663</v>
      </c>
      <c r="AE26" s="4">
        <v>0.53151272759777224</v>
      </c>
      <c r="AF26" s="4">
        <v>248.92</v>
      </c>
      <c r="AG26" s="4">
        <v>3127</v>
      </c>
      <c r="AH26" s="4">
        <v>1662.0402991982339</v>
      </c>
      <c r="AJ26" s="4">
        <v>1</v>
      </c>
      <c r="AK26" s="4">
        <v>0.86927739665905035</v>
      </c>
      <c r="AL26" s="4">
        <v>1</v>
      </c>
      <c r="AM26" s="4">
        <v>0.96686689796862846</v>
      </c>
      <c r="AN26" s="4">
        <v>0.91172573830162817</v>
      </c>
      <c r="AO26" s="4">
        <v>0.12</v>
      </c>
      <c r="AP26" t="e">
        <f t="shared" si="0"/>
        <v>#DIV/0!</v>
      </c>
    </row>
    <row r="27" spans="1:56" x14ac:dyDescent="0.4">
      <c r="AA27" s="4"/>
      <c r="AC27" s="4">
        <v>0.125</v>
      </c>
      <c r="AD27" s="4">
        <v>0.79603453789574663</v>
      </c>
      <c r="AE27" s="4">
        <v>0.53151272759777224</v>
      </c>
      <c r="AF27" s="4">
        <v>248.92</v>
      </c>
      <c r="AG27" s="4">
        <v>3127</v>
      </c>
      <c r="AH27" s="4">
        <v>1662.0402991982339</v>
      </c>
      <c r="AJ27" s="4">
        <v>1</v>
      </c>
      <c r="AK27" s="4">
        <v>0.86927739665905035</v>
      </c>
      <c r="AL27" s="4">
        <v>1</v>
      </c>
      <c r="AM27" s="4">
        <v>0.96686689796862846</v>
      </c>
      <c r="AN27" s="4">
        <v>0.91172573830162817</v>
      </c>
      <c r="AO27" s="4">
        <v>0.125</v>
      </c>
      <c r="AP27" t="e">
        <f t="shared" si="0"/>
        <v>#DIV/0!</v>
      </c>
    </row>
    <row r="28" spans="1:56" x14ac:dyDescent="0.4">
      <c r="AC28" s="4">
        <v>0.13</v>
      </c>
      <c r="AD28" s="4">
        <v>0.79595015329796004</v>
      </c>
      <c r="AE28" s="4">
        <v>0.53152108321756442</v>
      </c>
      <c r="AF28" s="4">
        <v>248.92</v>
      </c>
      <c r="AG28" s="4">
        <v>3127.3315165355334</v>
      </c>
      <c r="AH28" s="4">
        <v>1662.2426352493951</v>
      </c>
      <c r="AJ28" s="4">
        <v>0.99989399379829713</v>
      </c>
      <c r="AK28" s="4">
        <v>0.86929106209177343</v>
      </c>
      <c r="AL28" s="4">
        <v>1</v>
      </c>
      <c r="AM28" s="4">
        <v>0.9669694027221738</v>
      </c>
      <c r="AN28" s="4">
        <v>0.91183673138989385</v>
      </c>
      <c r="AO28" s="4">
        <v>0.13</v>
      </c>
      <c r="AP28">
        <f t="shared" si="0"/>
        <v>0.10435325099544128</v>
      </c>
    </row>
    <row r="29" spans="1:56" x14ac:dyDescent="0.4">
      <c r="AC29" s="4">
        <v>0.13500000000000001</v>
      </c>
      <c r="AD29" s="4">
        <v>0.79564150635433595</v>
      </c>
      <c r="AE29" s="4">
        <v>0.53155164491458695</v>
      </c>
      <c r="AF29" s="4">
        <v>248.92</v>
      </c>
      <c r="AG29" s="4">
        <v>3128.5446776219892</v>
      </c>
      <c r="AH29" s="4">
        <v>1662.9830695787443</v>
      </c>
      <c r="AJ29" s="4">
        <v>0.99950626320504932</v>
      </c>
      <c r="AK29" s="4">
        <v>0.86934104507627374</v>
      </c>
      <c r="AL29" s="4">
        <v>1</v>
      </c>
      <c r="AM29" s="4">
        <v>0.967344511547373</v>
      </c>
      <c r="AN29" s="4">
        <v>0.91224290266980534</v>
      </c>
      <c r="AO29" s="4">
        <v>0.13500000000000001</v>
      </c>
      <c r="AP29">
        <f t="shared" si="0"/>
        <v>0.12363890416510046</v>
      </c>
    </row>
    <row r="30" spans="1:56" x14ac:dyDescent="0.4">
      <c r="AC30" s="4">
        <v>0.14000000000000001</v>
      </c>
      <c r="AD30" s="4">
        <v>0.79532654408730197</v>
      </c>
      <c r="AE30" s="4">
        <v>0.53158283194422529</v>
      </c>
      <c r="AF30" s="4">
        <v>248.92</v>
      </c>
      <c r="AG30" s="4">
        <v>3129.7836322771636</v>
      </c>
      <c r="AH30" s="4">
        <v>1663.7392466185786</v>
      </c>
      <c r="AJ30" s="4">
        <v>0.99911059913265043</v>
      </c>
      <c r="AK30" s="4">
        <v>0.86939205077853798</v>
      </c>
      <c r="AL30" s="4">
        <v>1</v>
      </c>
      <c r="AM30" s="4">
        <v>0.96772759573163014</v>
      </c>
      <c r="AN30" s="4">
        <v>0.912657709741729</v>
      </c>
      <c r="AO30" s="4">
        <v>0.14000000000000001</v>
      </c>
      <c r="AP30">
        <f t="shared" si="0"/>
        <v>0.1259845618004003</v>
      </c>
    </row>
    <row r="31" spans="1:56" x14ac:dyDescent="0.4">
      <c r="AC31" s="4">
        <v>0.14499999999999999</v>
      </c>
      <c r="AD31" s="4">
        <v>0.79500507066358927</v>
      </c>
      <c r="AE31" s="4">
        <v>0.53161466369755783</v>
      </c>
      <c r="AF31" s="4">
        <v>248.92</v>
      </c>
      <c r="AG31" s="4">
        <v>3131.0492119531627</v>
      </c>
      <c r="AH31" s="4">
        <v>1664.5116738329841</v>
      </c>
      <c r="AJ31" s="4">
        <v>0.99870675557008037</v>
      </c>
      <c r="AK31" s="4">
        <v>0.86944411091224927</v>
      </c>
      <c r="AL31" s="4">
        <v>1</v>
      </c>
      <c r="AM31" s="4">
        <v>0.96811891235953729</v>
      </c>
      <c r="AN31" s="4">
        <v>0.91308143097922123</v>
      </c>
      <c r="AO31" s="4">
        <v>0.14499999999999999</v>
      </c>
      <c r="AP31">
        <f t="shared" si="0"/>
        <v>0.12689860358371308</v>
      </c>
    </row>
    <row r="32" spans="1:56" x14ac:dyDescent="0.4">
      <c r="AC32" s="4">
        <v>0.15</v>
      </c>
      <c r="AD32" s="4">
        <v>0.79467688206851295</v>
      </c>
      <c r="AE32" s="4">
        <v>0.53164716037577286</v>
      </c>
      <c r="AF32" s="4">
        <v>248.92</v>
      </c>
      <c r="AG32" s="4">
        <v>3132.3422842258974</v>
      </c>
      <c r="AH32" s="4">
        <v>1665.3008807336603</v>
      </c>
      <c r="AJ32" s="4">
        <v>0.99829447622860368</v>
      </c>
      <c r="AK32" s="4">
        <v>0.86949725851600757</v>
      </c>
      <c r="AL32" s="4">
        <v>1</v>
      </c>
      <c r="AM32" s="4">
        <v>0.96851872968514907</v>
      </c>
      <c r="AN32" s="4">
        <v>0.91351435685023574</v>
      </c>
      <c r="AO32" s="4">
        <v>0.15</v>
      </c>
      <c r="AP32">
        <f t="shared" si="0"/>
        <v>0.12738521716976225</v>
      </c>
    </row>
    <row r="33" spans="29:42" x14ac:dyDescent="0.4">
      <c r="AC33" s="4">
        <v>0.155</v>
      </c>
      <c r="AD33" s="4">
        <v>0.79434176567421322</v>
      </c>
      <c r="AE33" s="4">
        <v>0.53168034303292022</v>
      </c>
      <c r="AF33" s="4">
        <v>248.92</v>
      </c>
      <c r="AG33" s="4">
        <v>3133.6637547784512</v>
      </c>
      <c r="AH33" s="4">
        <v>1666.1074200904357</v>
      </c>
      <c r="AJ33" s="4">
        <v>0.9978734939993833</v>
      </c>
      <c r="AK33" s="4">
        <v>0.86955152802324898</v>
      </c>
      <c r="AL33" s="4">
        <v>1</v>
      </c>
      <c r="AM33" s="4">
        <v>0.96892732774524015</v>
      </c>
      <c r="AN33" s="4">
        <v>0.91395679058116275</v>
      </c>
      <c r="AO33" s="4">
        <v>0.155</v>
      </c>
      <c r="AP33">
        <f t="shared" si="0"/>
        <v>0.12768740044475713</v>
      </c>
    </row>
    <row r="34" spans="29:42" x14ac:dyDescent="0.4">
      <c r="AC34" s="4">
        <v>0.16</v>
      </c>
      <c r="AD34" s="4">
        <v>0.79399949978026518</v>
      </c>
      <c r="AE34" s="4">
        <v>0.53171423362140025</v>
      </c>
      <c r="AF34" s="4">
        <v>248.92</v>
      </c>
      <c r="AG34" s="4">
        <v>3135.0145695165697</v>
      </c>
      <c r="AH34" s="4">
        <v>1666.9318692224267</v>
      </c>
      <c r="AJ34" s="4">
        <v>0.99744353037638178</v>
      </c>
      <c r="AK34" s="4">
        <v>0.86960695533664245</v>
      </c>
      <c r="AL34" s="4">
        <v>1</v>
      </c>
      <c r="AM34" s="4">
        <v>0.96934499901341242</v>
      </c>
      <c r="AN34" s="4">
        <v>0.9144090488651041</v>
      </c>
      <c r="AO34" s="4">
        <v>0.16</v>
      </c>
      <c r="AP34">
        <f t="shared" si="0"/>
        <v>0.12789330005011068</v>
      </c>
    </row>
    <row r="35" spans="29:42" x14ac:dyDescent="0.4">
      <c r="AC35" s="4">
        <v>0.16500000000000001</v>
      </c>
      <c r="AD35" s="4">
        <v>0.79364985312456593</v>
      </c>
      <c r="AE35" s="4">
        <v>0.53174885504039415</v>
      </c>
      <c r="AF35" s="4">
        <v>248.91999999999996</v>
      </c>
      <c r="AG35" s="4">
        <v>3136.3957168266643</v>
      </c>
      <c r="AH35" s="4">
        <v>1667.7748313761751</v>
      </c>
      <c r="AJ35" s="4">
        <v>0.99700429484192432</v>
      </c>
      <c r="AK35" s="4">
        <v>0.86966357790729598</v>
      </c>
      <c r="AL35" s="4">
        <v>0.99999999999999989</v>
      </c>
      <c r="AM35" s="4">
        <v>0.96977204909826975</v>
      </c>
      <c r="AN35" s="4">
        <v>0.91487146261786167</v>
      </c>
      <c r="AO35" s="4">
        <v>0.16500000000000001</v>
      </c>
      <c r="AP35">
        <f t="shared" si="0"/>
        <v>0.12804261002185008</v>
      </c>
    </row>
    <row r="36" spans="29:42" x14ac:dyDescent="0.4">
      <c r="AC36" s="4">
        <v>0.17</v>
      </c>
      <c r="AD36" s="4">
        <v>0.79329258436223693</v>
      </c>
      <c r="AE36" s="4">
        <v>0.53178423118746276</v>
      </c>
      <c r="AF36" s="4">
        <v>248.92</v>
      </c>
      <c r="AG36" s="4">
        <v>3137.808229987651</v>
      </c>
      <c r="AH36" s="4">
        <v>1668.6369371976764</v>
      </c>
      <c r="AJ36" s="4">
        <v>0.99655548421208229</v>
      </c>
      <c r="AK36" s="4">
        <v>0.86972143481914566</v>
      </c>
      <c r="AL36" s="4">
        <v>1</v>
      </c>
      <c r="AM36" s="4">
        <v>0.97020879748915656</v>
      </c>
      <c r="AN36" s="4">
        <v>0.9153443777854311</v>
      </c>
      <c r="AO36" s="4">
        <v>0.17</v>
      </c>
      <c r="AP36">
        <f t="shared" si="0"/>
        <v>0.12815584143757411</v>
      </c>
    </row>
    <row r="37" spans="29:42" x14ac:dyDescent="0.4">
      <c r="AC37" s="4">
        <v>0.17500000000000002</v>
      </c>
      <c r="AD37" s="4">
        <v>0.79292744151007122</v>
      </c>
      <c r="AE37" s="4">
        <v>0.53182038701355583</v>
      </c>
      <c r="AF37" s="4">
        <v>248.91999999999996</v>
      </c>
      <c r="AG37" s="4">
        <v>3139.2531897489939</v>
      </c>
      <c r="AH37" s="4">
        <v>1669.5188463058496</v>
      </c>
      <c r="AJ37" s="4">
        <v>0.99609678193877271</v>
      </c>
      <c r="AK37" s="4">
        <v>0.86978056687892213</v>
      </c>
      <c r="AL37" s="4">
        <v>0.99999999999999989</v>
      </c>
      <c r="AM37" s="4">
        <v>0.97065557835328808</v>
      </c>
      <c r="AN37" s="4">
        <v>0.91582815620714075</v>
      </c>
      <c r="AO37" s="4">
        <v>0.17500000000000002</v>
      </c>
      <c r="AP37">
        <f t="shared" si="0"/>
        <v>0.12824466147420133</v>
      </c>
    </row>
    <row r="38" spans="29:42" x14ac:dyDescent="0.4">
      <c r="AC38" s="4">
        <v>0.18</v>
      </c>
      <c r="AD38" s="4">
        <v>0.79255416135383816</v>
      </c>
      <c r="AE38" s="4">
        <v>0.5318573485817002</v>
      </c>
      <c r="AF38" s="4">
        <v>248.92</v>
      </c>
      <c r="AG38" s="4">
        <v>3140.7317270884773</v>
      </c>
      <c r="AH38" s="4">
        <v>1670.4212489757017</v>
      </c>
      <c r="AJ38" s="4">
        <v>0.99562785736519854</v>
      </c>
      <c r="AK38" s="4">
        <v>0.86984101671213343</v>
      </c>
      <c r="AL38" s="4">
        <v>1</v>
      </c>
      <c r="AM38" s="4">
        <v>0.97111274138845183</v>
      </c>
      <c r="AN38" s="4">
        <v>0.91632317653896622</v>
      </c>
      <c r="AO38" s="4">
        <v>0.18</v>
      </c>
      <c r="AP38">
        <f t="shared" si="0"/>
        <v>0.12831619619812651</v>
      </c>
    </row>
    <row r="39" spans="29:42" x14ac:dyDescent="0.4">
      <c r="AC39" s="4">
        <v>0.185</v>
      </c>
      <c r="AD39" s="4">
        <v>0.79217246881551728</v>
      </c>
      <c r="AE39" s="4">
        <v>0.53189514312965502</v>
      </c>
      <c r="AF39" s="4">
        <v>248.92</v>
      </c>
      <c r="AG39" s="4">
        <v>3142.2450261644849</v>
      </c>
      <c r="AH39" s="4">
        <v>1671.3448679402052</v>
      </c>
      <c r="AJ39" s="4">
        <v>0.99514836493095082</v>
      </c>
      <c r="AK39" s="4">
        <v>0.86990282886553671</v>
      </c>
      <c r="AL39" s="4">
        <v>1</v>
      </c>
      <c r="AM39" s="4">
        <v>0.97158065273585137</v>
      </c>
      <c r="AN39" s="4">
        <v>0.91682983524196371</v>
      </c>
      <c r="AO39" s="4">
        <v>0.185</v>
      </c>
      <c r="AP39">
        <f t="shared" si="0"/>
        <v>0.12837504401556815</v>
      </c>
    </row>
    <row r="40" spans="29:42" x14ac:dyDescent="0.4">
      <c r="AC40" s="4">
        <v>0.19</v>
      </c>
      <c r="AD40" s="4">
        <v>0.79178207627726349</v>
      </c>
      <c r="AE40" s="4">
        <v>0.53193379913685179</v>
      </c>
      <c r="AF40" s="4">
        <v>248.92</v>
      </c>
      <c r="AG40" s="4">
        <v>3143.7943274789923</v>
      </c>
      <c r="AH40" s="4">
        <v>1672.2904603207842</v>
      </c>
      <c r="AJ40" s="4">
        <v>0.99465794332275559</v>
      </c>
      <c r="AK40" s="4">
        <v>0.86996604991661697</v>
      </c>
      <c r="AL40" s="4">
        <v>1</v>
      </c>
      <c r="AM40" s="4">
        <v>0.9720596959581016</v>
      </c>
      <c r="AN40" s="4">
        <v>0.91734854764125484</v>
      </c>
      <c r="AO40" s="4">
        <v>0.19</v>
      </c>
      <c r="AP40">
        <f t="shared" si="0"/>
        <v>0.12842430510692371</v>
      </c>
    </row>
    <row r="41" spans="29:42" x14ac:dyDescent="0.4">
      <c r="AC41" s="4">
        <v>0.19500000000000001</v>
      </c>
      <c r="AD41" s="4">
        <v>0.79138268285861213</v>
      </c>
      <c r="AE41" s="4">
        <v>0.53197334639596372</v>
      </c>
      <c r="AF41" s="4">
        <v>248.91999999999996</v>
      </c>
      <c r="AG41" s="4">
        <v>3145.3809312690237</v>
      </c>
      <c r="AH41" s="4">
        <v>1673.2588196972354</v>
      </c>
      <c r="AJ41" s="4">
        <v>0.9941562145664794</v>
      </c>
      <c r="AK41" s="4">
        <v>0.87003072859063701</v>
      </c>
      <c r="AL41" s="4">
        <v>0.99999999999999989</v>
      </c>
      <c r="AM41" s="4">
        <v>0.9725502730878659</v>
      </c>
      <c r="AN41" s="4">
        <v>0.9178797490614985</v>
      </c>
      <c r="AO41" s="4">
        <v>0.19500000000000001</v>
      </c>
      <c r="AP41">
        <f t="shared" si="0"/>
        <v>0.12846614564776795</v>
      </c>
    </row>
    <row r="42" spans="29:42" x14ac:dyDescent="0.4">
      <c r="AC42" s="4">
        <v>0.2</v>
      </c>
      <c r="AD42" s="4">
        <v>0.79097397364310706</v>
      </c>
      <c r="AE42" s="4">
        <v>0.53201381608948439</v>
      </c>
      <c r="AF42" s="4">
        <v>248.92</v>
      </c>
      <c r="AG42" s="4">
        <v>3147.0062011460623</v>
      </c>
      <c r="AH42" s="4">
        <v>1674.2507783289882</v>
      </c>
      <c r="AJ42" s="4">
        <v>0.99364278305559861</v>
      </c>
      <c r="AK42" s="4">
        <v>0.87009691588588056</v>
      </c>
      <c r="AL42" s="4">
        <v>1</v>
      </c>
      <c r="AM42" s="4">
        <v>0.97305280575315978</v>
      </c>
      <c r="AN42" s="4">
        <v>0.91842389604538077</v>
      </c>
      <c r="AO42" s="4">
        <v>0.2</v>
      </c>
      <c r="AP42">
        <f t="shared" si="0"/>
        <v>0.12850212491174187</v>
      </c>
    </row>
    <row r="43" spans="29:42" x14ac:dyDescent="0.4">
      <c r="AC43" s="4">
        <v>0.20500000000000002</v>
      </c>
      <c r="AD43" s="4">
        <v>0.79055561885017422</v>
      </c>
      <c r="AE43" s="4">
        <v>0.53205524087172718</v>
      </c>
      <c r="AF43" s="4">
        <v>248.92</v>
      </c>
      <c r="AG43" s="4">
        <v>3148.671568004821</v>
      </c>
      <c r="AH43" s="4">
        <v>1675.267209540764</v>
      </c>
      <c r="AJ43" s="4">
        <v>0.99311723451088507</v>
      </c>
      <c r="AK43" s="4">
        <v>0.87016466520776026</v>
      </c>
      <c r="AL43" s="4">
        <v>1</v>
      </c>
      <c r="AM43" s="4">
        <v>0.9735677363859413</v>
      </c>
      <c r="AN43" s="4">
        <v>0.91898146766228817</v>
      </c>
      <c r="AO43" s="4">
        <v>0.20500000000000002</v>
      </c>
      <c r="AP43">
        <f t="shared" si="0"/>
        <v>0.12853339390384574</v>
      </c>
    </row>
    <row r="44" spans="29:42" x14ac:dyDescent="0.4">
      <c r="AC44" s="4">
        <v>0.21</v>
      </c>
      <c r="AD44" s="4">
        <v>0.79012727294766272</v>
      </c>
      <c r="AE44" s="4">
        <v>0.53209765495669981</v>
      </c>
      <c r="AF44" s="4">
        <v>248.92</v>
      </c>
      <c r="AG44" s="4">
        <v>3150.3785342249312</v>
      </c>
      <c r="AH44" s="4">
        <v>1676.3090302870112</v>
      </c>
      <c r="AJ44" s="4">
        <v>0.99257913486555582</v>
      </c>
      <c r="AK44" s="4">
        <v>0.87023403251253462</v>
      </c>
      <c r="AL44" s="4">
        <v>1</v>
      </c>
      <c r="AM44" s="4">
        <v>0.97409552952127076</v>
      </c>
      <c r="AN44" s="4">
        <v>0.91955296691504895</v>
      </c>
      <c r="AO44" s="4">
        <v>0.21</v>
      </c>
      <c r="AP44">
        <f t="shared" si="0"/>
        <v>0.12856082077363087</v>
      </c>
    </row>
    <row r="45" spans="29:42" x14ac:dyDescent="0.4">
      <c r="AC45" s="4">
        <v>0.215</v>
      </c>
      <c r="AD45" s="4">
        <v>0.7896885737000342</v>
      </c>
      <c r="AE45" s="4">
        <v>0.53214109421235101</v>
      </c>
      <c r="AF45" s="4">
        <v>248.91999999999996</v>
      </c>
      <c r="AG45" s="4">
        <v>3152.1286781914746</v>
      </c>
      <c r="AH45" s="4">
        <v>1677.3772039109429</v>
      </c>
      <c r="AJ45" s="4">
        <v>0.99202802906958354</v>
      </c>
      <c r="AK45" s="4">
        <v>0.87030507646144606</v>
      </c>
      <c r="AL45" s="4">
        <v>0.99999999999999989</v>
      </c>
      <c r="AM45" s="4">
        <v>0.9746366731950572</v>
      </c>
      <c r="AN45" s="4">
        <v>0.92013892225342631</v>
      </c>
      <c r="AO45" s="4">
        <v>0.215</v>
      </c>
      <c r="AP45">
        <f t="shared" si="0"/>
        <v>0.12858507267442526</v>
      </c>
    </row>
    <row r="46" spans="29:42" x14ac:dyDescent="0.4">
      <c r="AC46" s="4">
        <v>0.22</v>
      </c>
      <c r="AD46" s="4">
        <v>0.78923914114669358</v>
      </c>
      <c r="AE46" s="4">
        <v>0.53218559626173456</v>
      </c>
      <c r="AF46" s="4">
        <v>248.91999999999996</v>
      </c>
      <c r="AG46" s="4">
        <v>3153.9236591629451</v>
      </c>
      <c r="AH46" s="4">
        <v>1678.4727431156236</v>
      </c>
      <c r="AJ46" s="4">
        <v>0.9914634398062474</v>
      </c>
      <c r="AK46" s="4">
        <v>0.87037785858617334</v>
      </c>
      <c r="AL46" s="4">
        <v>0.99999999999999989</v>
      </c>
      <c r="AM46" s="4">
        <v>0.9751916804492301</v>
      </c>
      <c r="AN46" s="4">
        <v>0.92073988920393146</v>
      </c>
      <c r="AO46" s="4">
        <v>0.22</v>
      </c>
      <c r="AP46">
        <f t="shared" si="0"/>
        <v>0.1286066707497408</v>
      </c>
    </row>
    <row r="47" spans="29:42" x14ac:dyDescent="0.4">
      <c r="AC47" s="4">
        <v>0.22500000000000001</v>
      </c>
      <c r="AD47" s="4">
        <v>0.78877857650439798</v>
      </c>
      <c r="AE47" s="4">
        <v>0.53223120059169127</v>
      </c>
      <c r="AF47" s="4">
        <v>248.92</v>
      </c>
      <c r="AG47" s="4">
        <v>3155.7652225182119</v>
      </c>
      <c r="AH47" s="4">
        <v>1679.5967131663735</v>
      </c>
      <c r="AJ47" s="4">
        <v>0.99088486611331061</v>
      </c>
      <c r="AK47" s="4">
        <v>0.87045244346657746</v>
      </c>
      <c r="AL47" s="4">
        <v>1</v>
      </c>
      <c r="AM47" s="4">
        <v>0.97576109095409724</v>
      </c>
      <c r="AN47" s="4">
        <v>0.92135645212652928</v>
      </c>
      <c r="AO47" s="4">
        <v>0.22500000000000001</v>
      </c>
      <c r="AP47">
        <f t="shared" si="0"/>
        <v>0.12862602800486586</v>
      </c>
    </row>
    <row r="48" spans="29:42" x14ac:dyDescent="0.4">
      <c r="AC48" s="4">
        <v>0.23</v>
      </c>
      <c r="AD48" s="4">
        <v>0.78830646098708645</v>
      </c>
      <c r="AE48" s="4">
        <v>0.53227794866970624</v>
      </c>
      <c r="AF48" s="4">
        <v>248.92</v>
      </c>
      <c r="AG48" s="4">
        <v>3157.6552054173462</v>
      </c>
      <c r="AH48" s="4">
        <v>1680.7502353457651</v>
      </c>
      <c r="AJ48" s="4">
        <v>0.99029178190045786</v>
      </c>
      <c r="AK48" s="4">
        <v>0.87052889892181995</v>
      </c>
      <c r="AL48" s="4">
        <v>1</v>
      </c>
      <c r="AM48" s="4">
        <v>0.97634547275867023</v>
      </c>
      <c r="AN48" s="4">
        <v>0.92198922610990397</v>
      </c>
      <c r="AO48" s="4">
        <v>0.23</v>
      </c>
      <c r="AP48">
        <f t="shared" si="0"/>
        <v>0.12864347597205267</v>
      </c>
    </row>
    <row r="49" spans="29:42" x14ac:dyDescent="0.4">
      <c r="AC49" s="4">
        <v>0.23500000000000001</v>
      </c>
      <c r="AD49" s="4">
        <v>0.78409988496185568</v>
      </c>
      <c r="AE49" s="4">
        <v>0.53421314734273195</v>
      </c>
      <c r="AF49" s="4">
        <v>248.92</v>
      </c>
      <c r="AG49" s="4">
        <v>3174.5955429149089</v>
      </c>
      <c r="AH49" s="4">
        <v>1695.9106765207825</v>
      </c>
      <c r="AJ49" s="4">
        <v>0.98500736793978905</v>
      </c>
      <c r="AK49" s="4">
        <v>0.87369387386439346</v>
      </c>
      <c r="AL49" s="4">
        <v>1</v>
      </c>
      <c r="AM49" s="4">
        <v>0.98158341697575047</v>
      </c>
      <c r="AN49" s="4">
        <v>0.93030560955135178</v>
      </c>
      <c r="AO49" s="4">
        <v>0.23500000000000001</v>
      </c>
      <c r="AP49">
        <f t="shared" si="0"/>
        <v>0.29440286713281066</v>
      </c>
    </row>
    <row r="50" spans="29:42" x14ac:dyDescent="0.4">
      <c r="AC50" s="4">
        <v>0.24</v>
      </c>
      <c r="AD50" s="4">
        <v>0.78372466927835172</v>
      </c>
      <c r="AE50" s="4">
        <v>0.53431540426189517</v>
      </c>
      <c r="AF50" s="4">
        <v>248.91095496280451</v>
      </c>
      <c r="AG50" s="4">
        <v>3176</v>
      </c>
      <c r="AH50" s="4">
        <v>1696.9857239357789</v>
      </c>
      <c r="AJ50" s="4">
        <v>0.98453601190479112</v>
      </c>
      <c r="AK50" s="4">
        <v>0.87386111281064094</v>
      </c>
      <c r="AL50" s="4">
        <v>0.9999636628748374</v>
      </c>
      <c r="AM50" s="4">
        <v>0.98201767443184007</v>
      </c>
      <c r="AN50" s="4">
        <v>0.93089533556378345</v>
      </c>
      <c r="AO50" s="4">
        <v>0.24</v>
      </c>
      <c r="AP50">
        <f t="shared" si="0"/>
        <v>0.29624394318178676</v>
      </c>
    </row>
    <row r="51" spans="29:42" x14ac:dyDescent="0.4">
      <c r="AC51" s="4">
        <v>0.245</v>
      </c>
      <c r="AD51" s="4">
        <v>0.78362727989087289</v>
      </c>
      <c r="AE51" s="4">
        <v>0.53454997605030818</v>
      </c>
      <c r="AF51" s="4">
        <v>248.88002409334123</v>
      </c>
      <c r="AG51" s="4">
        <v>3176</v>
      </c>
      <c r="AH51" s="4">
        <v>1697.7307239357788</v>
      </c>
      <c r="AJ51" s="4">
        <v>0.98441366873644531</v>
      </c>
      <c r="AK51" s="4">
        <v>0.8742447498205822</v>
      </c>
      <c r="AL51" s="4">
        <v>0.99983940259256487</v>
      </c>
      <c r="AM51" s="4">
        <v>0.98201767443184007</v>
      </c>
      <c r="AN51" s="4">
        <v>0.93130401137950358</v>
      </c>
      <c r="AO51" s="4">
        <v>0.245</v>
      </c>
      <c r="AP51">
        <f t="shared" si="0"/>
        <v>0.31853229195706606</v>
      </c>
    </row>
    <row r="52" spans="29:42" x14ac:dyDescent="0.4">
      <c r="AC52" s="4">
        <v>0.25</v>
      </c>
      <c r="AD52" s="4">
        <v>0.78352989050339406</v>
      </c>
      <c r="AE52" s="4">
        <v>0.5347845478387212</v>
      </c>
      <c r="AF52" s="4">
        <v>248.84909322387796</v>
      </c>
      <c r="AG52" s="4">
        <v>3176</v>
      </c>
      <c r="AH52" s="4">
        <v>1698.4757239357787</v>
      </c>
      <c r="AJ52" s="4">
        <v>0.98429132556809962</v>
      </c>
      <c r="AK52" s="4">
        <v>0.87462838683052335</v>
      </c>
      <c r="AL52" s="4">
        <v>0.99971514231029235</v>
      </c>
      <c r="AM52" s="4">
        <v>0.98201767443184007</v>
      </c>
      <c r="AN52" s="4">
        <v>0.93171268719522371</v>
      </c>
      <c r="AO52" s="4">
        <v>0.25</v>
      </c>
      <c r="AP52">
        <f t="shared" si="0"/>
        <v>0.34047346602728401</v>
      </c>
    </row>
    <row r="53" spans="29:42" x14ac:dyDescent="0.4">
      <c r="AC53" s="4">
        <v>0.255</v>
      </c>
      <c r="AD53" s="4">
        <v>0.78343250111591534</v>
      </c>
      <c r="AE53" s="4">
        <v>0.53501911962713444</v>
      </c>
      <c r="AF53" s="4">
        <v>248.81816235441468</v>
      </c>
      <c r="AG53" s="4">
        <v>3176</v>
      </c>
      <c r="AH53" s="4">
        <v>1699.220723935779</v>
      </c>
      <c r="AJ53" s="4">
        <v>0.98416898239975392</v>
      </c>
      <c r="AK53" s="4">
        <v>0.87501202384046506</v>
      </c>
      <c r="AL53" s="4">
        <v>0.99959088202801982</v>
      </c>
      <c r="AM53" s="4">
        <v>0.98201767443184007</v>
      </c>
      <c r="AN53" s="4">
        <v>0.93212136301094417</v>
      </c>
      <c r="AO53" s="4">
        <v>0.255</v>
      </c>
      <c r="AP53">
        <f t="shared" si="0"/>
        <v>0.36207551436086505</v>
      </c>
    </row>
    <row r="54" spans="29:42" x14ac:dyDescent="0.4">
      <c r="AC54" s="4">
        <v>0.26</v>
      </c>
      <c r="AD54" s="4">
        <v>0.7833262901781104</v>
      </c>
      <c r="AE54" s="4">
        <v>0.53527374413386541</v>
      </c>
      <c r="AF54" s="4">
        <v>248.78442976056783</v>
      </c>
      <c r="AG54" s="4">
        <v>3176</v>
      </c>
      <c r="AH54" s="4">
        <v>1700.0294113691566</v>
      </c>
      <c r="AJ54" s="4">
        <v>0.98403555736258697</v>
      </c>
      <c r="AK54" s="4">
        <v>0.87542845663095914</v>
      </c>
      <c r="AL54" s="4">
        <v>0.9994553662243606</v>
      </c>
      <c r="AM54" s="4">
        <v>0.98201767443184007</v>
      </c>
      <c r="AN54" s="4">
        <v>0.93256497508678071</v>
      </c>
      <c r="AO54" s="4">
        <v>0.26</v>
      </c>
      <c r="AP54">
        <f t="shared" si="0"/>
        <v>0.38513443723679014</v>
      </c>
    </row>
    <row r="55" spans="29:42" x14ac:dyDescent="0.4">
      <c r="AC55" s="4">
        <v>0.26500000000000001</v>
      </c>
      <c r="AD55" s="4">
        <v>0.78312501588910999</v>
      </c>
      <c r="AE55" s="4">
        <v>0.53574446201799653</v>
      </c>
      <c r="AF55" s="4">
        <v>248.72050504638131</v>
      </c>
      <c r="AG55" s="4">
        <v>3176</v>
      </c>
      <c r="AH55" s="4">
        <v>1701.524411369157</v>
      </c>
      <c r="AJ55" s="4">
        <v>0.98378271118642424</v>
      </c>
      <c r="AK55" s="4">
        <v>0.87619830539587529</v>
      </c>
      <c r="AL55" s="4">
        <v>0.99919855795589474</v>
      </c>
      <c r="AM55" s="4">
        <v>0.98201767443184007</v>
      </c>
      <c r="AN55" s="4">
        <v>0.93338506950893096</v>
      </c>
      <c r="AO55" s="4">
        <v>0.26500000000000001</v>
      </c>
      <c r="AP55">
        <f t="shared" si="0"/>
        <v>0.42660061588616516</v>
      </c>
    </row>
    <row r="56" spans="29:42" x14ac:dyDescent="0.4">
      <c r="AC56" s="4">
        <v>0.27</v>
      </c>
      <c r="AD56" s="4">
        <v>0.78292374160010958</v>
      </c>
      <c r="AE56" s="4">
        <v>0.53621517990212741</v>
      </c>
      <c r="AF56" s="4">
        <v>248.65658033219478</v>
      </c>
      <c r="AG56" s="4">
        <v>3176</v>
      </c>
      <c r="AH56" s="4">
        <v>1703.0194113691568</v>
      </c>
      <c r="AJ56" s="4">
        <v>0.98352986501026152</v>
      </c>
      <c r="AK56" s="4">
        <v>0.8769681541607911</v>
      </c>
      <c r="AL56" s="4">
        <v>0.99894174968742888</v>
      </c>
      <c r="AM56" s="4">
        <v>0.98201767443184007</v>
      </c>
      <c r="AN56" s="4">
        <v>0.93420516393108077</v>
      </c>
      <c r="AO56" s="4">
        <v>0.27</v>
      </c>
      <c r="AP56">
        <f t="shared" si="0"/>
        <v>0.46679363378509409</v>
      </c>
    </row>
    <row r="57" spans="29:42" x14ac:dyDescent="0.4">
      <c r="AC57" s="4">
        <v>0.27500000000000002</v>
      </c>
      <c r="AD57" s="4">
        <v>0.78272246731110895</v>
      </c>
      <c r="AE57" s="4">
        <v>0.53668589778625841</v>
      </c>
      <c r="AF57" s="4">
        <v>248.59265561800822</v>
      </c>
      <c r="AG57" s="4">
        <v>3176</v>
      </c>
      <c r="AH57" s="4">
        <v>1704.5144113691567</v>
      </c>
      <c r="AJ57" s="4">
        <v>0.98327701883409846</v>
      </c>
      <c r="AK57" s="4">
        <v>0.87773800292570703</v>
      </c>
      <c r="AL57" s="4">
        <v>0.99868494141896291</v>
      </c>
      <c r="AM57" s="4">
        <v>0.98201767443184007</v>
      </c>
      <c r="AN57" s="4">
        <v>0.93502525835323069</v>
      </c>
      <c r="AO57" s="4">
        <v>0.27500000000000002</v>
      </c>
      <c r="AP57">
        <f t="shared" si="0"/>
        <v>0.50577124029494192</v>
      </c>
    </row>
    <row r="58" spans="29:42" x14ac:dyDescent="0.4">
      <c r="AC58" s="4">
        <v>0.28000000000000003</v>
      </c>
      <c r="AD58" s="4">
        <v>0.78252119302210854</v>
      </c>
      <c r="AE58" s="4">
        <v>0.53715661567038941</v>
      </c>
      <c r="AF58" s="4">
        <v>248.52873090382167</v>
      </c>
      <c r="AG58" s="4">
        <v>3176</v>
      </c>
      <c r="AH58" s="4">
        <v>1706.0094113691566</v>
      </c>
      <c r="AJ58" s="4">
        <v>0.98302417265793574</v>
      </c>
      <c r="AK58" s="4">
        <v>0.87850785169062295</v>
      </c>
      <c r="AL58" s="4">
        <v>0.99842813315049683</v>
      </c>
      <c r="AM58" s="4">
        <v>0.98201767443184007</v>
      </c>
      <c r="AN58" s="4">
        <v>0.93584535277538061</v>
      </c>
      <c r="AO58" s="4">
        <v>0.28000000000000003</v>
      </c>
      <c r="AP58">
        <f t="shared" si="0"/>
        <v>0.54358774418948541</v>
      </c>
    </row>
    <row r="59" spans="29:42" x14ac:dyDescent="0.4">
      <c r="AC59" s="4">
        <v>0.28500000000000003</v>
      </c>
      <c r="AD59" s="4">
        <v>0.78231991873310813</v>
      </c>
      <c r="AE59" s="4">
        <v>0.53762733355452041</v>
      </c>
      <c r="AF59" s="4">
        <v>248.46480618963514</v>
      </c>
      <c r="AG59" s="4">
        <v>3176</v>
      </c>
      <c r="AH59" s="4">
        <v>1707.504411369157</v>
      </c>
      <c r="AJ59" s="4">
        <v>0.98277132648177301</v>
      </c>
      <c r="AK59" s="4">
        <v>0.87927770045553888</v>
      </c>
      <c r="AL59" s="4">
        <v>0.99817132488203097</v>
      </c>
      <c r="AM59" s="4">
        <v>0.98201767443184007</v>
      </c>
      <c r="AN59" s="4">
        <v>0.93666544719753075</v>
      </c>
      <c r="AO59" s="4">
        <v>0.28500000000000003</v>
      </c>
      <c r="AP59">
        <f t="shared" si="0"/>
        <v>0.58029426612337909</v>
      </c>
    </row>
    <row r="60" spans="29:42" x14ac:dyDescent="0.4">
      <c r="AC60" s="4">
        <v>0.28999999999999998</v>
      </c>
      <c r="AD60" s="4">
        <v>0.78211864444410772</v>
      </c>
      <c r="AE60" s="4">
        <v>0.53809805143865141</v>
      </c>
      <c r="AF60" s="4">
        <v>248.40088147544861</v>
      </c>
      <c r="AG60" s="4">
        <v>3176</v>
      </c>
      <c r="AH60" s="4">
        <v>1708.9994113691569</v>
      </c>
      <c r="AJ60" s="4">
        <v>0.98251848030561029</v>
      </c>
      <c r="AK60" s="4">
        <v>0.88004754922045481</v>
      </c>
      <c r="AL60" s="4">
        <v>0.99791451661356512</v>
      </c>
      <c r="AM60" s="4">
        <v>0.98201767443184007</v>
      </c>
      <c r="AN60" s="4">
        <v>0.93748554161968067</v>
      </c>
      <c r="AO60" s="4">
        <v>0.28999999999999998</v>
      </c>
      <c r="AP60">
        <f t="shared" si="0"/>
        <v>0.61593896919101077</v>
      </c>
    </row>
    <row r="61" spans="29:42" x14ac:dyDescent="0.4">
      <c r="AC61" s="4">
        <v>0.29499999999999998</v>
      </c>
      <c r="AD61" s="4">
        <v>0.78191737015510732</v>
      </c>
      <c r="AE61" s="4">
        <v>0.5385687693227823</v>
      </c>
      <c r="AF61" s="4">
        <v>248.33695676126206</v>
      </c>
      <c r="AG61" s="4">
        <v>3176</v>
      </c>
      <c r="AH61" s="4">
        <v>1710.4944113691568</v>
      </c>
      <c r="AJ61" s="4">
        <v>0.98226563412944756</v>
      </c>
      <c r="AK61" s="4">
        <v>0.88081739798537062</v>
      </c>
      <c r="AL61" s="4">
        <v>0.99765770834509915</v>
      </c>
      <c r="AM61" s="4">
        <v>0.98201767443184007</v>
      </c>
      <c r="AN61" s="4">
        <v>0.93830563604183059</v>
      </c>
      <c r="AO61" s="4">
        <v>0.29499999999999998</v>
      </c>
      <c r="AP61">
        <f t="shared" si="0"/>
        <v>0.65056726976227486</v>
      </c>
    </row>
    <row r="62" spans="29:42" x14ac:dyDescent="0.4">
      <c r="AC62" s="4">
        <v>0.3</v>
      </c>
      <c r="AD62" s="4">
        <v>0.78171609586610691</v>
      </c>
      <c r="AE62" s="4">
        <v>0.5390394872069133</v>
      </c>
      <c r="AF62" s="4">
        <v>248.27303204707553</v>
      </c>
      <c r="AG62" s="4">
        <v>3176</v>
      </c>
      <c r="AH62" s="4">
        <v>1711.9894113691566</v>
      </c>
      <c r="AJ62" s="4">
        <v>0.98201278795328484</v>
      </c>
      <c r="AK62" s="4">
        <v>0.88158724675028655</v>
      </c>
      <c r="AL62" s="4">
        <v>0.99740090007663318</v>
      </c>
      <c r="AM62" s="4">
        <v>0.98201767443184007</v>
      </c>
      <c r="AN62" s="4">
        <v>0.93912573046398051</v>
      </c>
      <c r="AO62" s="4">
        <v>0.3</v>
      </c>
      <c r="AP62">
        <f t="shared" si="0"/>
        <v>0.68422203053608033</v>
      </c>
    </row>
    <row r="63" spans="29:42" x14ac:dyDescent="0.4">
      <c r="AC63" s="4">
        <v>0.30499999999999999</v>
      </c>
      <c r="AD63" s="4">
        <v>0.7815148215771065</v>
      </c>
      <c r="AE63" s="4">
        <v>0.53951020509104441</v>
      </c>
      <c r="AF63" s="4">
        <v>248.209107332889</v>
      </c>
      <c r="AG63" s="4">
        <v>3176</v>
      </c>
      <c r="AH63" s="4">
        <v>1713.484411369157</v>
      </c>
      <c r="AJ63" s="4">
        <v>0.98175994177712211</v>
      </c>
      <c r="AK63" s="4">
        <v>0.88235709551520269</v>
      </c>
      <c r="AL63" s="4">
        <v>0.99714409180816732</v>
      </c>
      <c r="AM63" s="4">
        <v>0.98201767443184007</v>
      </c>
      <c r="AN63" s="4">
        <v>0.93994582488613065</v>
      </c>
      <c r="AO63" s="4">
        <v>0.30499999999999999</v>
      </c>
      <c r="AP63">
        <f t="shared" si="0"/>
        <v>0.71694373753700436</v>
      </c>
    </row>
    <row r="64" spans="29:42" x14ac:dyDescent="0.4">
      <c r="AC64" s="4">
        <v>0.31</v>
      </c>
      <c r="AD64" s="4">
        <v>0.78131354728810587</v>
      </c>
      <c r="AE64" s="4">
        <v>0.5399809229751753</v>
      </c>
      <c r="AF64" s="4">
        <v>248.14518261870245</v>
      </c>
      <c r="AG64" s="4">
        <v>3176</v>
      </c>
      <c r="AH64" s="4">
        <v>1714.9794113691569</v>
      </c>
      <c r="AJ64" s="4">
        <v>0.98150709560095906</v>
      </c>
      <c r="AK64" s="4">
        <v>0.88312694428011851</v>
      </c>
      <c r="AL64" s="4">
        <v>0.99688728353970135</v>
      </c>
      <c r="AM64" s="4">
        <v>0.98201767443184007</v>
      </c>
      <c r="AN64" s="4">
        <v>0.94076591930828057</v>
      </c>
      <c r="AO64" s="4">
        <v>0.31</v>
      </c>
      <c r="AP64">
        <f t="shared" si="0"/>
        <v>0.74877066259189495</v>
      </c>
    </row>
    <row r="65" spans="29:42" x14ac:dyDescent="0.4">
      <c r="AC65" s="4">
        <v>0.315</v>
      </c>
      <c r="AD65" s="4">
        <v>0.78111227299910546</v>
      </c>
      <c r="AE65" s="4">
        <v>0.5404516408593063</v>
      </c>
      <c r="AF65" s="4">
        <v>248.08125790451589</v>
      </c>
      <c r="AG65" s="4">
        <v>3176</v>
      </c>
      <c r="AH65" s="4">
        <v>1716.4744113691568</v>
      </c>
      <c r="AJ65" s="4">
        <v>0.98125424942479633</v>
      </c>
      <c r="AK65" s="4">
        <v>0.88389679304503443</v>
      </c>
      <c r="AL65" s="4">
        <v>0.99663047527123538</v>
      </c>
      <c r="AM65" s="4">
        <v>0.98201767443184007</v>
      </c>
      <c r="AN65" s="4">
        <v>0.94158601373043049</v>
      </c>
      <c r="AO65" s="4">
        <v>0.315</v>
      </c>
      <c r="AP65">
        <f t="shared" si="0"/>
        <v>0.77973901265756995</v>
      </c>
    </row>
    <row r="66" spans="29:42" x14ac:dyDescent="0.4">
      <c r="AC66" s="4">
        <v>0.32</v>
      </c>
      <c r="AD66" s="4">
        <v>0.78091099871010505</v>
      </c>
      <c r="AE66" s="4">
        <v>0.54092235874343719</v>
      </c>
      <c r="AF66" s="4">
        <v>248.01733319032937</v>
      </c>
      <c r="AG66" s="4">
        <v>3176</v>
      </c>
      <c r="AH66" s="4">
        <v>1717.9694113691567</v>
      </c>
      <c r="AJ66" s="4">
        <v>0.98100140324863361</v>
      </c>
      <c r="AK66" s="4">
        <v>0.88466664180995014</v>
      </c>
      <c r="AL66" s="4">
        <v>0.99637366700276953</v>
      </c>
      <c r="AM66" s="4">
        <v>0.98201767443184007</v>
      </c>
      <c r="AN66" s="4">
        <v>0.94240610815258041</v>
      </c>
      <c r="AO66" s="4">
        <v>0.32</v>
      </c>
      <c r="AP66">
        <f t="shared" si="0"/>
        <v>0.80988306722408154</v>
      </c>
    </row>
    <row r="67" spans="29:42" x14ac:dyDescent="0.4">
      <c r="AC67" s="4">
        <v>0.32500000000000001</v>
      </c>
      <c r="AD67" s="4">
        <v>0.78109021996453321</v>
      </c>
      <c r="AE67" s="4">
        <v>0.54151740621795041</v>
      </c>
      <c r="AF67" s="4">
        <v>247.93180355659794</v>
      </c>
      <c r="AG67" s="4">
        <v>3174.1762631192041</v>
      </c>
      <c r="AH67" s="4">
        <v>1718.871696882898</v>
      </c>
      <c r="AJ67" s="4">
        <v>0.98122654580953539</v>
      </c>
      <c r="AK67" s="4">
        <v>0.88563982889028825</v>
      </c>
      <c r="AL67" s="4">
        <v>0.99603006410331818</v>
      </c>
      <c r="AM67" s="4">
        <v>0.98145377586431648</v>
      </c>
      <c r="AN67" s="4">
        <v>0.94290106421746733</v>
      </c>
      <c r="AO67" s="4">
        <v>0.32500000000000001</v>
      </c>
      <c r="AP67">
        <f t="shared" ref="AP67:AP116" si="2">(AK67-0.86928)/(1-AJ67)</f>
        <v>0.87143413909400114</v>
      </c>
    </row>
    <row r="68" spans="29:42" x14ac:dyDescent="0.4">
      <c r="AC68" s="4">
        <v>0.33</v>
      </c>
      <c r="AD68" s="4">
        <v>0.7816558768703149</v>
      </c>
      <c r="AE68" s="4">
        <v>0.54222984050169887</v>
      </c>
      <c r="AF68" s="4">
        <v>247.82572755951782</v>
      </c>
      <c r="AG68" s="4">
        <v>3170.5221555013622</v>
      </c>
      <c r="AH68" s="4">
        <v>1719.1517226846063</v>
      </c>
      <c r="AJ68" s="4">
        <v>0.98193713923086734</v>
      </c>
      <c r="AK68" s="4">
        <v>0.88680499951991087</v>
      </c>
      <c r="AL68" s="4">
        <v>0.99560391916888091</v>
      </c>
      <c r="AM68" s="4">
        <v>0.98032392754410347</v>
      </c>
      <c r="AN68" s="4">
        <v>0.94305467465093828</v>
      </c>
      <c r="AO68" s="4">
        <v>0.33</v>
      </c>
      <c r="AP68">
        <f t="shared" si="2"/>
        <v>0.97022280932702643</v>
      </c>
    </row>
    <row r="69" spans="29:42" x14ac:dyDescent="0.4">
      <c r="AC69" s="4">
        <v>0.33500000000000002</v>
      </c>
      <c r="AD69" s="4">
        <v>0.78219029005835916</v>
      </c>
      <c r="AE69" s="4">
        <v>0.54292075589221778</v>
      </c>
      <c r="AF69" s="4">
        <v>247.72319262712315</v>
      </c>
      <c r="AG69" s="4">
        <v>3167.0451011177929</v>
      </c>
      <c r="AH69" s="4">
        <v>1719.4545202436175</v>
      </c>
      <c r="AJ69" s="4">
        <v>0.98260848345351492</v>
      </c>
      <c r="AK69" s="4">
        <v>0.8879349764721024</v>
      </c>
      <c r="AL69" s="4">
        <v>0.99519199994826923</v>
      </c>
      <c r="AM69" s="4">
        <v>0.97924882399888125</v>
      </c>
      <c r="AN69" s="4">
        <v>0.94322077671728322</v>
      </c>
      <c r="AO69" s="4">
        <v>0.33500000000000002</v>
      </c>
      <c r="AP69">
        <f t="shared" si="2"/>
        <v>1.0726480593132992</v>
      </c>
    </row>
    <row r="70" spans="29:42" x14ac:dyDescent="0.4">
      <c r="AC70" s="4">
        <v>0.34</v>
      </c>
      <c r="AD70" s="4">
        <v>0.78269558078476187</v>
      </c>
      <c r="AE70" s="4">
        <v>0.54359161338988571</v>
      </c>
      <c r="AF70" s="4">
        <v>247.62394748307383</v>
      </c>
      <c r="AG70" s="4">
        <v>3163.7325361514904</v>
      </c>
      <c r="AH70" s="4">
        <v>1719.7784736606636</v>
      </c>
      <c r="AJ70" s="4">
        <v>0.98324324325644807</v>
      </c>
      <c r="AK70" s="4">
        <v>0.8890321491809059</v>
      </c>
      <c r="AL70" s="4">
        <v>0.99479329697522834</v>
      </c>
      <c r="AM70" s="4">
        <v>0.97822458050246663</v>
      </c>
      <c r="AN70" s="4">
        <v>0.94339848400180226</v>
      </c>
      <c r="AO70" s="4">
        <v>0.34</v>
      </c>
      <c r="AP70">
        <f t="shared" si="2"/>
        <v>1.1787572907571482</v>
      </c>
    </row>
    <row r="71" spans="29:42" x14ac:dyDescent="0.4">
      <c r="AC71" s="4">
        <v>0.34500000000000003</v>
      </c>
      <c r="AD71" s="4">
        <v>0.78317368252828745</v>
      </c>
      <c r="AE71" s="4">
        <v>0.54424374466475012</v>
      </c>
      <c r="AF71" s="4">
        <v>247.52776407599492</v>
      </c>
      <c r="AG71" s="4">
        <v>3160.5730580337076</v>
      </c>
      <c r="AH71" s="4">
        <v>1720.1221163907858</v>
      </c>
      <c r="AJ71" s="4">
        <v>0.98384384752770171</v>
      </c>
      <c r="AK71" s="4">
        <v>0.89009869556344723</v>
      </c>
      <c r="AL71" s="4">
        <v>0.99440689408643312</v>
      </c>
      <c r="AM71" s="4">
        <v>0.97724767138608015</v>
      </c>
      <c r="AN71" s="4">
        <v>0.94358699201931773</v>
      </c>
      <c r="AO71" s="4">
        <v>0.34500000000000003</v>
      </c>
      <c r="AP71">
        <f t="shared" si="2"/>
        <v>1.2885924169843896</v>
      </c>
    </row>
    <row r="72" spans="29:42" x14ac:dyDescent="0.4">
      <c r="AC72" s="4">
        <v>0.35000000000000003</v>
      </c>
      <c r="AD72" s="4">
        <v>0.7836263613184733</v>
      </c>
      <c r="AE72" s="4">
        <v>0.54487836605736928</v>
      </c>
      <c r="AF72" s="4">
        <v>247.43443495678335</v>
      </c>
      <c r="AG72" s="4">
        <v>3157.5562943092928</v>
      </c>
      <c r="AH72" s="4">
        <v>1720.4841143774092</v>
      </c>
      <c r="AJ72" s="4">
        <v>0.98441251480108716</v>
      </c>
      <c r="AK72" s="4">
        <v>0.89113660491800473</v>
      </c>
      <c r="AL72" s="4">
        <v>0.99403195788519749</v>
      </c>
      <c r="AM72" s="4">
        <v>0.9763148894915713</v>
      </c>
      <c r="AN72" s="4">
        <v>0.94378556896223365</v>
      </c>
      <c r="AO72" s="4">
        <v>0.35000000000000003</v>
      </c>
      <c r="AP72">
        <f t="shared" si="2"/>
        <v>1.4021892973171244</v>
      </c>
    </row>
    <row r="73" spans="29:42" x14ac:dyDescent="0.4">
      <c r="AC73" s="4">
        <v>0.35499999999999998</v>
      </c>
      <c r="AD73" s="4">
        <v>0.78405523347892381</v>
      </c>
      <c r="AE73" s="4">
        <v>0.54549659079938051</v>
      </c>
      <c r="AF73" s="4">
        <v>247.34377100346828</v>
      </c>
      <c r="AG73" s="4">
        <v>3154.6727888797022</v>
      </c>
      <c r="AH73" s="4">
        <v>1720.8632514214514</v>
      </c>
      <c r="AJ73" s="4">
        <v>0.98495127554579587</v>
      </c>
      <c r="AK73" s="4">
        <v>0.89214769791048043</v>
      </c>
      <c r="AL73" s="4">
        <v>0.99366772860143138</v>
      </c>
      <c r="AM73" s="4">
        <v>0.97542331099781243</v>
      </c>
      <c r="AN73" s="4">
        <v>0.94399354767464139</v>
      </c>
      <c r="AO73" s="4">
        <v>0.35499999999999998</v>
      </c>
      <c r="AP73">
        <f t="shared" si="2"/>
        <v>1.5195771561949143</v>
      </c>
    </row>
    <row r="74" spans="29:42" x14ac:dyDescent="0.4">
      <c r="AC74" s="4">
        <v>0.36</v>
      </c>
      <c r="AD74" s="4">
        <v>0.78446178116127974</v>
      </c>
      <c r="AE74" s="4">
        <v>0.54609943971241504</v>
      </c>
      <c r="AF74" s="4">
        <v>247.25559944105271</v>
      </c>
      <c r="AG74" s="4">
        <v>3151.913902995087</v>
      </c>
      <c r="AH74" s="4">
        <v>1721.2584164473883</v>
      </c>
      <c r="AJ74" s="4">
        <v>0.9854619916805889</v>
      </c>
      <c r="AK74" s="4">
        <v>0.89313364407224005</v>
      </c>
      <c r="AL74" s="4">
        <v>0.99331351213664121</v>
      </c>
      <c r="AM74" s="4">
        <v>0.97457026480749986</v>
      </c>
      <c r="AN74" s="4">
        <v>0.94421031866701566</v>
      </c>
      <c r="AO74" s="4">
        <v>0.36</v>
      </c>
      <c r="AP74">
        <f t="shared" si="2"/>
        <v>1.6407779902279114</v>
      </c>
    </row>
    <row r="75" spans="29:42" x14ac:dyDescent="0.4">
      <c r="AC75" s="4">
        <v>0.36499999999999999</v>
      </c>
      <c r="AD75" s="4">
        <v>0.78484736598428839</v>
      </c>
      <c r="AE75" s="4">
        <v>0.5466878506019125</v>
      </c>
      <c r="AF75" s="4">
        <v>247.16976211266058</v>
      </c>
      <c r="AG75" s="4">
        <v>3149.2717288116446</v>
      </c>
      <c r="AH75" s="4">
        <v>1721.668592385407</v>
      </c>
      <c r="AJ75" s="4">
        <v>0.98594637370756466</v>
      </c>
      <c r="AK75" s="4">
        <v>0.89409597716349054</v>
      </c>
      <c r="AL75" s="4">
        <v>0.99296867311851433</v>
      </c>
      <c r="AM75" s="4">
        <v>0.97375330581912833</v>
      </c>
      <c r="AN75" s="4">
        <v>0.94443532401742991</v>
      </c>
      <c r="AO75" s="4">
        <v>0.36499999999999999</v>
      </c>
      <c r="AP75">
        <f t="shared" si="2"/>
        <v>1.7658059668804635</v>
      </c>
    </row>
    <row r="76" spans="29:42" x14ac:dyDescent="0.4">
      <c r="AC76" s="4">
        <v>0.37</v>
      </c>
      <c r="AD76" s="4">
        <v>0.78521324104227042</v>
      </c>
      <c r="AE76" s="4">
        <v>0.54726268652786847</v>
      </c>
      <c r="AF76" s="4">
        <v>247.08611396555094</v>
      </c>
      <c r="AG76" s="4">
        <v>3146.7390136923268</v>
      </c>
      <c r="AH76" s="4">
        <v>1722.0928464353178</v>
      </c>
      <c r="AJ76" s="4">
        <v>0.9864059957975172</v>
      </c>
      <c r="AK76" s="4">
        <v>0.89503610869990646</v>
      </c>
      <c r="AL76" s="4">
        <v>0.99263262881870062</v>
      </c>
      <c r="AM76" s="4">
        <v>0.97297019152080633</v>
      </c>
      <c r="AN76" s="4">
        <v>0.94466805203074522</v>
      </c>
      <c r="AO76" s="4">
        <v>0.37</v>
      </c>
      <c r="AP76">
        <f t="shared" si="2"/>
        <v>1.8946668190085103</v>
      </c>
    </row>
    <row r="77" spans="29:42" x14ac:dyDescent="0.4">
      <c r="AC77" s="4">
        <v>0.375</v>
      </c>
      <c r="AD77" s="4">
        <v>0.78556056150597708</v>
      </c>
      <c r="AE77" s="4">
        <v>0.54782474310610108</v>
      </c>
      <c r="AF77" s="4">
        <v>247.00452172147607</v>
      </c>
      <c r="AG77" s="4">
        <v>3144.3090937247453</v>
      </c>
      <c r="AH77" s="4">
        <v>1722.5303215159361</v>
      </c>
      <c r="AJ77" s="4">
        <v>0.98684230910701853</v>
      </c>
      <c r="AK77" s="4">
        <v>0.89595533989369058</v>
      </c>
      <c r="AL77" s="4">
        <v>0.99230484381116857</v>
      </c>
      <c r="AM77" s="4">
        <v>0.97221886143402425</v>
      </c>
      <c r="AN77" s="4">
        <v>0.94490803254809941</v>
      </c>
      <c r="AO77" s="4">
        <v>0.375</v>
      </c>
      <c r="AP77">
        <f t="shared" si="2"/>
        <v>2.0273572400093092</v>
      </c>
    </row>
    <row r="78" spans="29:42" x14ac:dyDescent="0.4">
      <c r="AC78" s="4">
        <v>0.38</v>
      </c>
      <c r="AD78" s="4">
        <v>0.78576961930045242</v>
      </c>
      <c r="AE78" s="4">
        <v>0.54837886741581821</v>
      </c>
      <c r="AF78" s="4">
        <v>246.91437785160142</v>
      </c>
      <c r="AG78" s="4">
        <v>3142.3253303102001</v>
      </c>
      <c r="AH78" s="4">
        <v>1723.1848056875442</v>
      </c>
      <c r="AJ78" s="4">
        <v>0.98710493313213687</v>
      </c>
      <c r="AK78" s="4">
        <v>0.89686159803647003</v>
      </c>
      <c r="AL78" s="4">
        <v>0.99194270388719841</v>
      </c>
      <c r="AM78" s="4">
        <v>0.97160548273913294</v>
      </c>
      <c r="AN78" s="4">
        <v>0.94526705516918397</v>
      </c>
      <c r="AO78" s="4">
        <v>0.38</v>
      </c>
      <c r="AP78">
        <f t="shared" si="2"/>
        <v>2.1389263288900335</v>
      </c>
    </row>
    <row r="79" spans="29:42" x14ac:dyDescent="0.4">
      <c r="AC79" s="4">
        <v>0.38500000000000001</v>
      </c>
      <c r="AD79" s="4">
        <v>0.7847004820161676</v>
      </c>
      <c r="AE79" s="4">
        <v>0.54896382753941753</v>
      </c>
      <c r="AF79" s="4">
        <v>246.71648688429312</v>
      </c>
      <c r="AG79" s="4">
        <v>3144.0848137418361</v>
      </c>
      <c r="AH79" s="4">
        <v>1725.9888334602751</v>
      </c>
      <c r="AJ79" s="4">
        <v>0.98576185411560191</v>
      </c>
      <c r="AK79" s="4">
        <v>0.89781828747585557</v>
      </c>
      <c r="AL79" s="4">
        <v>0.99114770562547461</v>
      </c>
      <c r="AM79" s="4">
        <v>0.97214951417104001</v>
      </c>
      <c r="AN79" s="4">
        <v>0.94680522743404694</v>
      </c>
      <c r="AO79" s="4">
        <v>0.38500000000000001</v>
      </c>
      <c r="AP79">
        <f t="shared" si="2"/>
        <v>2.0043541980509745</v>
      </c>
    </row>
    <row r="80" spans="29:42" x14ac:dyDescent="0.4">
      <c r="AC80" s="4">
        <v>0.39</v>
      </c>
      <c r="AD80" s="4">
        <v>0.78354607018854883</v>
      </c>
      <c r="AE80" s="4">
        <v>0.54925718578133598</v>
      </c>
      <c r="AF80" s="4">
        <v>246.51416610070893</v>
      </c>
      <c r="AG80" s="4">
        <v>3146.1349304117998</v>
      </c>
      <c r="AH80" s="4">
        <v>1728.0372179663445</v>
      </c>
      <c r="AJ80" s="4">
        <v>0.98431165092382789</v>
      </c>
      <c r="AK80" s="4">
        <v>0.89829806843985216</v>
      </c>
      <c r="AL80" s="4">
        <v>0.99033491121930317</v>
      </c>
      <c r="AM80" s="4">
        <v>0.97278340926063434</v>
      </c>
      <c r="AN80" s="4">
        <v>0.94792888543260612</v>
      </c>
      <c r="AO80" s="4">
        <v>0.39</v>
      </c>
      <c r="AP80">
        <f t="shared" si="2"/>
        <v>1.8496572392008748</v>
      </c>
    </row>
    <row r="81" spans="29:42" x14ac:dyDescent="0.4">
      <c r="AC81" s="4">
        <v>0.39500000000000002</v>
      </c>
      <c r="AD81" s="4">
        <v>0.78262706644380842</v>
      </c>
      <c r="AE81" s="4">
        <v>0.54994583442649148</v>
      </c>
      <c r="AF81" s="4">
        <v>246.21447510322216</v>
      </c>
      <c r="AG81" s="4">
        <v>3146</v>
      </c>
      <c r="AH81" s="4">
        <v>1730.1295951057423</v>
      </c>
      <c r="AJ81" s="4">
        <v>0.98315717369829225</v>
      </c>
      <c r="AK81" s="4">
        <v>0.89942433817976808</v>
      </c>
      <c r="AL81" s="4">
        <v>0.98913094610004082</v>
      </c>
      <c r="AM81" s="4">
        <v>0.97274168884211865</v>
      </c>
      <c r="AN81" s="4">
        <v>0.94907667594836143</v>
      </c>
      <c r="AO81" s="4">
        <v>0.39500000000000002</v>
      </c>
      <c r="AP81">
        <f t="shared" si="2"/>
        <v>1.7897434575283602</v>
      </c>
    </row>
    <row r="82" spans="29:42" x14ac:dyDescent="0.4">
      <c r="AC82" s="4">
        <v>0.4</v>
      </c>
      <c r="AD82" s="4">
        <v>0.78145203339267455</v>
      </c>
      <c r="AE82" s="4">
        <v>0.5506276526083097</v>
      </c>
      <c r="AF82" s="4">
        <v>245.84480970533542</v>
      </c>
      <c r="AG82" s="4">
        <v>3146</v>
      </c>
      <c r="AH82" s="4">
        <v>1732.2745951057423</v>
      </c>
      <c r="AJ82" s="4">
        <v>0.98168106557082335</v>
      </c>
      <c r="AK82" s="4">
        <v>0.90053943684685833</v>
      </c>
      <c r="AL82" s="4">
        <v>0.98764586897531514</v>
      </c>
      <c r="AM82" s="4">
        <v>0.97274168884211865</v>
      </c>
      <c r="AN82" s="4">
        <v>0.95025333316275051</v>
      </c>
      <c r="AO82" s="4">
        <v>0.4</v>
      </c>
      <c r="AP82">
        <f t="shared" si="2"/>
        <v>1.7064003895920516</v>
      </c>
    </row>
    <row r="83" spans="29:42" x14ac:dyDescent="0.4">
      <c r="AC83" s="4">
        <v>0.40500000000000003</v>
      </c>
      <c r="AD83" s="4">
        <v>0.78027700034154068</v>
      </c>
      <c r="AE83" s="4">
        <v>0.55130947079012782</v>
      </c>
      <c r="AF83" s="4">
        <v>245.47514430744869</v>
      </c>
      <c r="AG83" s="4">
        <v>3146</v>
      </c>
      <c r="AH83" s="4">
        <v>1734.4195951057422</v>
      </c>
      <c r="AJ83" s="4">
        <v>0.98020495744335445</v>
      </c>
      <c r="AK83" s="4">
        <v>0.90165453551394836</v>
      </c>
      <c r="AL83" s="4">
        <v>0.98616079185058936</v>
      </c>
      <c r="AM83" s="4">
        <v>0.97274168884211865</v>
      </c>
      <c r="AN83" s="4">
        <v>0.9514299903771396</v>
      </c>
      <c r="AO83" s="4">
        <v>0.40500000000000003</v>
      </c>
      <c r="AP83">
        <f t="shared" si="2"/>
        <v>1.6354870377926822</v>
      </c>
    </row>
    <row r="84" spans="29:42" x14ac:dyDescent="0.4">
      <c r="AC84" s="4">
        <v>0.41000000000000003</v>
      </c>
      <c r="AD84" s="4">
        <v>0.77910196729040671</v>
      </c>
      <c r="AE84" s="4">
        <v>0.55199128897194605</v>
      </c>
      <c r="AF84" s="4">
        <v>245.10547890956195</v>
      </c>
      <c r="AG84" s="4">
        <v>3146</v>
      </c>
      <c r="AH84" s="4">
        <v>1736.5645951057422</v>
      </c>
      <c r="AJ84" s="4">
        <v>0.97872884931588544</v>
      </c>
      <c r="AK84" s="4">
        <v>0.90276963418103851</v>
      </c>
      <c r="AL84" s="4">
        <v>0.98467571472586357</v>
      </c>
      <c r="AM84" s="4">
        <v>0.97274168884211865</v>
      </c>
      <c r="AN84" s="4">
        <v>0.95260664759152858</v>
      </c>
      <c r="AO84" s="4">
        <v>0.41000000000000003</v>
      </c>
      <c r="AP84">
        <f t="shared" si="2"/>
        <v>1.5744157275914903</v>
      </c>
    </row>
    <row r="85" spans="29:42" x14ac:dyDescent="0.4">
      <c r="AC85" s="4">
        <v>0.41500000000000004</v>
      </c>
      <c r="AD85" s="4">
        <v>0.77792693423927284</v>
      </c>
      <c r="AE85" s="4">
        <v>0.55267310715376439</v>
      </c>
      <c r="AF85" s="4">
        <v>244.73581351167525</v>
      </c>
      <c r="AG85" s="4">
        <v>3146</v>
      </c>
      <c r="AH85" s="4">
        <v>1738.7095951057427</v>
      </c>
      <c r="AJ85" s="4">
        <v>0.97725274118841654</v>
      </c>
      <c r="AK85" s="4">
        <v>0.90388473284812898</v>
      </c>
      <c r="AL85" s="4">
        <v>0.9831906376011379</v>
      </c>
      <c r="AM85" s="4">
        <v>0.97274168884211865</v>
      </c>
      <c r="AN85" s="4">
        <v>0.953783304805918</v>
      </c>
      <c r="AO85" s="4">
        <v>0.41500000000000004</v>
      </c>
      <c r="AP85">
        <f t="shared" si="2"/>
        <v>1.5212704587731403</v>
      </c>
    </row>
    <row r="86" spans="29:42" x14ac:dyDescent="0.4">
      <c r="AC86" s="4">
        <v>0.42</v>
      </c>
      <c r="AD86" s="4">
        <v>0.77675190118813908</v>
      </c>
      <c r="AE86" s="4">
        <v>0.5533549253355825</v>
      </c>
      <c r="AF86" s="4">
        <v>244.36614811378854</v>
      </c>
      <c r="AG86" s="4">
        <v>3146</v>
      </c>
      <c r="AH86" s="4">
        <v>1740.8545951057426</v>
      </c>
      <c r="AJ86" s="4">
        <v>0.97577663306094775</v>
      </c>
      <c r="AK86" s="4">
        <v>0.90499983151521901</v>
      </c>
      <c r="AL86" s="4">
        <v>0.98170556047641233</v>
      </c>
      <c r="AM86" s="4">
        <v>0.97274168884211865</v>
      </c>
      <c r="AN86" s="4">
        <v>0.95495996202030697</v>
      </c>
      <c r="AO86" s="4">
        <v>0.42</v>
      </c>
      <c r="AP86">
        <f t="shared" si="2"/>
        <v>1.4746022551321065</v>
      </c>
    </row>
    <row r="87" spans="29:42" x14ac:dyDescent="0.4">
      <c r="AC87" s="4">
        <v>0.42499999999999999</v>
      </c>
      <c r="AD87" s="4">
        <v>0.7751706140845388</v>
      </c>
      <c r="AE87" s="4">
        <v>0.5540478752691651</v>
      </c>
      <c r="AF87" s="4">
        <v>243.99648271590183</v>
      </c>
      <c r="AG87" s="4">
        <v>3147.6487663823132</v>
      </c>
      <c r="AH87" s="4">
        <v>1743.9481111077293</v>
      </c>
      <c r="AJ87" s="4">
        <v>0.97379017766445164</v>
      </c>
      <c r="AK87" s="4">
        <v>0.90613313591792288</v>
      </c>
      <c r="AL87" s="4">
        <v>0.98022048335168666</v>
      </c>
      <c r="AM87" s="4">
        <v>0.97325148661555716</v>
      </c>
      <c r="AN87" s="4">
        <v>0.95665693541031438</v>
      </c>
      <c r="AO87" s="4">
        <v>0.42499999999999999</v>
      </c>
      <c r="AP87">
        <f t="shared" si="2"/>
        <v>1.4060811037219032</v>
      </c>
    </row>
    <row r="88" spans="29:42" x14ac:dyDescent="0.4">
      <c r="AC88" s="4">
        <v>0.43</v>
      </c>
      <c r="AD88" s="4">
        <v>0.7554051692974828</v>
      </c>
      <c r="AE88" s="4">
        <v>0.55574229267486186</v>
      </c>
      <c r="AF88" s="4">
        <v>243.6268173180151</v>
      </c>
      <c r="AG88" s="4">
        <v>3225.1145109926229</v>
      </c>
      <c r="AH88" s="4">
        <v>1792.3325324780062</v>
      </c>
      <c r="AJ88" s="4">
        <v>0.94896029422835815</v>
      </c>
      <c r="AK88" s="4">
        <v>0.90890431838411689</v>
      </c>
      <c r="AL88" s="4">
        <v>0.97873540622696087</v>
      </c>
      <c r="AM88" s="4">
        <v>0.99720385763896613</v>
      </c>
      <c r="AN88" s="4">
        <v>0.98319860369440648</v>
      </c>
      <c r="AO88" s="4">
        <v>0.43</v>
      </c>
      <c r="AP88">
        <f t="shared" si="2"/>
        <v>0.77634300168972548</v>
      </c>
    </row>
    <row r="89" spans="29:42" x14ac:dyDescent="0.4">
      <c r="AC89" s="4">
        <v>0.435</v>
      </c>
      <c r="AD89" s="4">
        <v>0.75364169578689433</v>
      </c>
      <c r="AE89" s="4">
        <v>0.55642283695912231</v>
      </c>
      <c r="AF89" s="4">
        <v>243.25715192012834</v>
      </c>
      <c r="AG89" s="4">
        <v>3227.7560182778643</v>
      </c>
      <c r="AH89" s="4">
        <v>1795.9971607020498</v>
      </c>
      <c r="AJ89" s="4">
        <v>0.946744971366551</v>
      </c>
      <c r="AK89" s="4">
        <v>0.9100173336197197</v>
      </c>
      <c r="AL89" s="4">
        <v>0.97725032910223508</v>
      </c>
      <c r="AM89" s="4">
        <v>0.99802061042273427</v>
      </c>
      <c r="AN89" s="4">
        <v>0.98520886534376528</v>
      </c>
      <c r="AO89" s="4">
        <v>0.435</v>
      </c>
      <c r="AP89">
        <f t="shared" si="2"/>
        <v>0.76494811222639925</v>
      </c>
    </row>
    <row r="90" spans="29:42" x14ac:dyDescent="0.4">
      <c r="AC90" s="4">
        <v>0.44</v>
      </c>
      <c r="AD90" s="4">
        <v>0.75183566415762371</v>
      </c>
      <c r="AE90" s="4">
        <v>0.55710336740184196</v>
      </c>
      <c r="AF90" s="4">
        <v>242.8874865222416</v>
      </c>
      <c r="AG90" s="4">
        <v>3230.5927758079829</v>
      </c>
      <c r="AH90" s="4">
        <v>1799.7741141066913</v>
      </c>
      <c r="AJ90" s="4">
        <v>0.94447618585123316</v>
      </c>
      <c r="AK90" s="4">
        <v>0.91113032621778633</v>
      </c>
      <c r="AL90" s="4">
        <v>0.9757652519775093</v>
      </c>
      <c r="AM90" s="4">
        <v>0.99889773448843144</v>
      </c>
      <c r="AN90" s="4">
        <v>0.98728074388548226</v>
      </c>
      <c r="AO90" s="4">
        <v>0.44</v>
      </c>
      <c r="AP90">
        <f t="shared" si="2"/>
        <v>0.75373651575259737</v>
      </c>
    </row>
    <row r="91" spans="29:42" x14ac:dyDescent="0.4">
      <c r="AC91" s="4">
        <v>0.44500000000000001</v>
      </c>
      <c r="AD91" s="4">
        <v>0.74986393800005025</v>
      </c>
      <c r="AE91" s="4">
        <v>0.55782317593782138</v>
      </c>
      <c r="AF91" s="4">
        <v>242.5178211243549</v>
      </c>
      <c r="AG91" s="4">
        <v>3234.157676273514</v>
      </c>
      <c r="AH91" s="4">
        <v>1804.088106462576</v>
      </c>
      <c r="AJ91" s="4">
        <v>0.94199925041224386</v>
      </c>
      <c r="AK91" s="4">
        <v>0.91230755727503143</v>
      </c>
      <c r="AL91" s="4">
        <v>0.97428017485278362</v>
      </c>
      <c r="AM91" s="4">
        <v>1</v>
      </c>
      <c r="AN91" s="4">
        <v>0.98964721951642454</v>
      </c>
      <c r="AO91" s="4">
        <v>0.44500000000000001</v>
      </c>
      <c r="AP91">
        <f t="shared" si="2"/>
        <v>0.74184484822786545</v>
      </c>
    </row>
    <row r="92" spans="29:42" x14ac:dyDescent="0.4">
      <c r="AC92" s="4">
        <v>0.45</v>
      </c>
      <c r="AD92" s="4">
        <v>0.74903987716018705</v>
      </c>
      <c r="AE92" s="4">
        <v>0.55911403399402582</v>
      </c>
      <c r="AF92" s="4">
        <v>241.9942011095543</v>
      </c>
      <c r="AG92" s="4">
        <v>3230.7252055393874</v>
      </c>
      <c r="AH92" s="4">
        <v>1806.3438023953049</v>
      </c>
      <c r="AJ92" s="4">
        <v>0.94096404301779901</v>
      </c>
      <c r="AK92" s="4">
        <v>0.91441872728524975</v>
      </c>
      <c r="AL92" s="4">
        <v>0.97217660738210798</v>
      </c>
      <c r="AM92" s="4">
        <v>0.99893868169777</v>
      </c>
      <c r="AN92" s="4">
        <v>0.99088459988598798</v>
      </c>
      <c r="AO92" s="4">
        <v>0.45</v>
      </c>
      <c r="AP92">
        <f t="shared" si="2"/>
        <v>0.76459719792225567</v>
      </c>
    </row>
    <row r="93" spans="29:42" x14ac:dyDescent="0.4">
      <c r="AC93" s="4">
        <v>0.45500000000000002</v>
      </c>
      <c r="AD93" s="4">
        <v>0.74869349702486288</v>
      </c>
      <c r="AE93" s="4">
        <v>0.5604842679829436</v>
      </c>
      <c r="AF93" s="4">
        <v>241.45059770634816</v>
      </c>
      <c r="AG93" s="4">
        <v>3224.9591944609874</v>
      </c>
      <c r="AH93" s="4">
        <v>1807.5388933823301</v>
      </c>
      <c r="AJ93" s="4">
        <v>0.94052891097410674</v>
      </c>
      <c r="AK93" s="4">
        <v>0.9166597148907274</v>
      </c>
      <c r="AL93" s="4">
        <v>0.96999275954663411</v>
      </c>
      <c r="AM93" s="4">
        <v>0.99715583384198969</v>
      </c>
      <c r="AN93" s="4">
        <v>0.99154017677723949</v>
      </c>
      <c r="AO93" s="4">
        <v>0.45500000000000002</v>
      </c>
      <c r="AP93">
        <f t="shared" si="2"/>
        <v>0.79668483740223039</v>
      </c>
    </row>
    <row r="94" spans="29:42" x14ac:dyDescent="0.4">
      <c r="AC94" s="4">
        <v>0.46</v>
      </c>
      <c r="AD94" s="4">
        <v>0.74816677612643179</v>
      </c>
      <c r="AE94" s="4">
        <v>0.56180688274608881</v>
      </c>
      <c r="AF94" s="4">
        <v>240.9312322707147</v>
      </c>
      <c r="AG94" s="4">
        <v>3220.2877748476767</v>
      </c>
      <c r="AH94" s="4">
        <v>1809.179836332512</v>
      </c>
      <c r="AJ94" s="4">
        <v>0.93986723001259542</v>
      </c>
      <c r="AK94" s="4">
        <v>0.91882282229793089</v>
      </c>
      <c r="AL94" s="4">
        <v>0.96790628423073566</v>
      </c>
      <c r="AM94" s="4">
        <v>0.99571143314143595</v>
      </c>
      <c r="AN94" s="4">
        <v>0.99244032939296556</v>
      </c>
      <c r="AO94" s="4">
        <v>0.46</v>
      </c>
      <c r="AP94">
        <f t="shared" si="2"/>
        <v>0.82389057261636345</v>
      </c>
    </row>
    <row r="95" spans="29:42" x14ac:dyDescent="0.4">
      <c r="AC95" s="4">
        <v>0.46500000000000002</v>
      </c>
      <c r="AD95" s="4">
        <v>0.74746143130998466</v>
      </c>
      <c r="AE95" s="4">
        <v>0.56308658669171052</v>
      </c>
      <c r="AF95" s="4">
        <v>240.43388890282168</v>
      </c>
      <c r="AG95" s="4">
        <v>3216.6728453325341</v>
      </c>
      <c r="AH95" s="4">
        <v>1811.2653329822092</v>
      </c>
      <c r="AJ95" s="4">
        <v>0.93898115688025163</v>
      </c>
      <c r="AK95" s="4">
        <v>0.920915750005179</v>
      </c>
      <c r="AL95" s="4">
        <v>0.96590827937820056</v>
      </c>
      <c r="AM95" s="4">
        <v>0.99459369867175851</v>
      </c>
      <c r="AN95" s="4">
        <v>0.99358434556007535</v>
      </c>
      <c r="AO95" s="4">
        <v>0.46500000000000002</v>
      </c>
      <c r="AP95">
        <f t="shared" si="2"/>
        <v>0.84622630264957222</v>
      </c>
    </row>
    <row r="96" spans="29:42" x14ac:dyDescent="0.4">
      <c r="AC96" s="4">
        <v>0.47000000000000003</v>
      </c>
      <c r="AD96" s="4">
        <v>0.74447019319608931</v>
      </c>
      <c r="AE96" s="4">
        <v>0.56436841871449972</v>
      </c>
      <c r="AF96" s="4">
        <v>239.65463127195429</v>
      </c>
      <c r="AG96" s="4">
        <v>3219.1299727272035</v>
      </c>
      <c r="AH96" s="4">
        <v>1816.7752923445025</v>
      </c>
      <c r="AJ96" s="4">
        <v>0.93522348309664616</v>
      </c>
      <c r="AK96" s="4">
        <v>0.92301215813591264</v>
      </c>
      <c r="AL96" s="4">
        <v>0.96277772485920898</v>
      </c>
      <c r="AM96" s="4">
        <v>0.99535344128192726</v>
      </c>
      <c r="AN96" s="4">
        <v>0.99660687862983444</v>
      </c>
      <c r="AO96" s="4">
        <v>0.47000000000000003</v>
      </c>
      <c r="AP96">
        <f t="shared" si="2"/>
        <v>0.82950057682293465</v>
      </c>
    </row>
    <row r="97" spans="29:42" x14ac:dyDescent="0.4">
      <c r="AC97" s="4">
        <v>0.47500000000000003</v>
      </c>
      <c r="AD97" s="4">
        <v>0.7407240854823518</v>
      </c>
      <c r="AE97" s="4">
        <v>0.56567954352029259</v>
      </c>
      <c r="AF97" s="4">
        <v>238.70599555512834</v>
      </c>
      <c r="AG97" s="4">
        <v>3222.6033989388302</v>
      </c>
      <c r="AH97" s="4">
        <v>1822.960819658661</v>
      </c>
      <c r="AJ97" s="4">
        <v>0.93051752181556902</v>
      </c>
      <c r="AK97" s="4">
        <v>0.92515647397012768</v>
      </c>
      <c r="AL97" s="4">
        <v>0.95896671844419235</v>
      </c>
      <c r="AM97" s="4">
        <v>0.99642742299812759</v>
      </c>
      <c r="AN97" s="4">
        <v>1</v>
      </c>
      <c r="AO97" s="4">
        <v>0.47500000000000003</v>
      </c>
      <c r="AP97">
        <f t="shared" si="2"/>
        <v>0.80418078672743609</v>
      </c>
    </row>
    <row r="98" spans="29:42" x14ac:dyDescent="0.4">
      <c r="AC98" s="4">
        <v>0.48</v>
      </c>
      <c r="AD98" s="4">
        <v>0.75631566671333639</v>
      </c>
      <c r="AE98" s="4">
        <v>0.56928048988475832</v>
      </c>
      <c r="AF98" s="4">
        <v>237.75713565663054</v>
      </c>
      <c r="AG98" s="4">
        <v>3143.6230415513364</v>
      </c>
      <c r="AH98" s="4">
        <v>1789.6032651073588</v>
      </c>
      <c r="AJ98" s="4">
        <v>0.95010408557472403</v>
      </c>
      <c r="AK98" s="4">
        <v>0.93104574269066986</v>
      </c>
      <c r="AL98" s="4">
        <v>0.95515481141182124</v>
      </c>
      <c r="AM98" s="4">
        <v>0.97200673443154628</v>
      </c>
      <c r="AN98" s="4">
        <v>0.98170144185679853</v>
      </c>
      <c r="AO98" s="4">
        <v>0.48</v>
      </c>
      <c r="AP98">
        <f t="shared" si="2"/>
        <v>1.2378917873761002</v>
      </c>
    </row>
    <row r="99" spans="29:42" x14ac:dyDescent="0.4">
      <c r="AC99" s="4">
        <v>0.48499999999999999</v>
      </c>
      <c r="AD99" s="4">
        <v>0.75548962217396642</v>
      </c>
      <c r="AE99" s="4">
        <v>0.57085291315589737</v>
      </c>
      <c r="AF99" s="4">
        <v>236.89395459278046</v>
      </c>
      <c r="AG99" s="4">
        <v>3135.634794176312</v>
      </c>
      <c r="AH99" s="4">
        <v>1789.9862568485403</v>
      </c>
      <c r="AJ99" s="4">
        <v>0.94906638620359685</v>
      </c>
      <c r="AK99" s="4">
        <v>0.93361740642816793</v>
      </c>
      <c r="AL99" s="4">
        <v>0.95168710667194467</v>
      </c>
      <c r="AM99" s="4">
        <v>0.96953677218028445</v>
      </c>
      <c r="AN99" s="4">
        <v>0.98191153509470652</v>
      </c>
      <c r="AO99" s="4">
        <v>0.48499999999999999</v>
      </c>
      <c r="AP99">
        <f t="shared" si="2"/>
        <v>1.2631620188063559</v>
      </c>
    </row>
    <row r="100" spans="29:42" x14ac:dyDescent="0.4">
      <c r="AC100" s="4">
        <v>0.49</v>
      </c>
      <c r="AD100" s="4">
        <v>0.76768871506519476</v>
      </c>
      <c r="AE100" s="4">
        <v>0.57404203644117324</v>
      </c>
      <c r="AF100" s="4">
        <v>236.05434110899702</v>
      </c>
      <c r="AG100" s="4">
        <v>3074.8705364120206</v>
      </c>
      <c r="AH100" s="4">
        <v>1765.104944514919</v>
      </c>
      <c r="AJ100" s="4">
        <v>0.96439121485170509</v>
      </c>
      <c r="AK100" s="4">
        <v>0.93883314754424385</v>
      </c>
      <c r="AL100" s="4">
        <v>0.94831408126706185</v>
      </c>
      <c r="AM100" s="4">
        <v>0.95074849286722829</v>
      </c>
      <c r="AN100" s="4">
        <v>0.96826268863278409</v>
      </c>
      <c r="AO100" s="4">
        <v>0.49</v>
      </c>
      <c r="AP100">
        <f t="shared" si="2"/>
        <v>1.9532580865813189</v>
      </c>
    </row>
    <row r="101" spans="29:42" x14ac:dyDescent="0.4">
      <c r="AC101" s="4">
        <v>0.495</v>
      </c>
      <c r="AD101" s="4">
        <v>0.76722096352229219</v>
      </c>
      <c r="AE101" s="4">
        <v>0.57575560093287692</v>
      </c>
      <c r="AF101" s="4">
        <v>235.26482311162758</v>
      </c>
      <c r="AG101" s="4">
        <v>3066.454571725109</v>
      </c>
      <c r="AH101" s="4">
        <v>1765.5283946769578</v>
      </c>
      <c r="AJ101" s="4">
        <v>0.96380361278089666</v>
      </c>
      <c r="AK101" s="4">
        <v>0.94163564464922911</v>
      </c>
      <c r="AL101" s="4">
        <v>0.94514230721367343</v>
      </c>
      <c r="AM101" s="4">
        <v>0.94814628062858175</v>
      </c>
      <c r="AN101" s="4">
        <v>0.96849497566686205</v>
      </c>
      <c r="AO101" s="4">
        <v>0.495</v>
      </c>
      <c r="AP101">
        <f t="shared" si="2"/>
        <v>1.9989742128474626</v>
      </c>
    </row>
    <row r="102" spans="29:42" x14ac:dyDescent="0.4">
      <c r="AC102" s="4">
        <v>0.5</v>
      </c>
      <c r="AD102" s="4">
        <v>0.77355235870832784</v>
      </c>
      <c r="AE102" s="4">
        <v>0.57811516670375207</v>
      </c>
      <c r="AF102" s="4">
        <v>234.54424029363508</v>
      </c>
      <c r="AG102" s="4">
        <v>3032.0409168588844</v>
      </c>
      <c r="AH102" s="4">
        <v>1752.8688401024713</v>
      </c>
      <c r="AJ102" s="4">
        <v>0.97175728172944775</v>
      </c>
      <c r="AK102" s="4">
        <v>0.94549466266338356</v>
      </c>
      <c r="AL102" s="4">
        <v>0.94224747024600308</v>
      </c>
      <c r="AM102" s="4">
        <v>0.93750559507429021</v>
      </c>
      <c r="AN102" s="4">
        <v>0.9615504739321199</v>
      </c>
      <c r="AO102" s="4">
        <v>0.5</v>
      </c>
      <c r="AP102">
        <f t="shared" si="2"/>
        <v>2.6985597467383311</v>
      </c>
    </row>
    <row r="103" spans="29:42" x14ac:dyDescent="0.4">
      <c r="AC103" s="4">
        <v>0.505</v>
      </c>
      <c r="AD103" s="4">
        <v>0.77373312604462519</v>
      </c>
      <c r="AE103" s="4">
        <v>0.58006927251399454</v>
      </c>
      <c r="AF103" s="4">
        <v>233.81240621169627</v>
      </c>
      <c r="AG103" s="4">
        <v>3021.8740589143536</v>
      </c>
      <c r="AH103" s="4">
        <v>1752.8962869833611</v>
      </c>
      <c r="AJ103" s="4">
        <v>0.97198436651998366</v>
      </c>
      <c r="AK103" s="4">
        <v>0.94869055981377004</v>
      </c>
      <c r="AL103" s="4">
        <v>0.93930743295716002</v>
      </c>
      <c r="AM103" s="4">
        <v>0.93436200748141651</v>
      </c>
      <c r="AN103" s="4">
        <v>0.961565530142102</v>
      </c>
      <c r="AO103" s="4">
        <v>0.505</v>
      </c>
      <c r="AP103">
        <f t="shared" si="2"/>
        <v>2.8345088063210793</v>
      </c>
    </row>
    <row r="104" spans="29:42" x14ac:dyDescent="0.4">
      <c r="AC104" s="4">
        <v>0.51</v>
      </c>
      <c r="AD104" s="4">
        <v>0.77163748649163688</v>
      </c>
      <c r="AE104" s="4">
        <v>0.58349554848911145</v>
      </c>
      <c r="AF104" s="4">
        <v>233.1057663929696</v>
      </c>
      <c r="AG104" s="4">
        <v>3020.9233023763422</v>
      </c>
      <c r="AH104" s="4">
        <v>1762.6952992636218</v>
      </c>
      <c r="AJ104" s="4">
        <v>0.9693517677403779</v>
      </c>
      <c r="AK104" s="4">
        <v>0.95429415894740921</v>
      </c>
      <c r="AL104" s="4">
        <v>0.93646860996693559</v>
      </c>
      <c r="AM104" s="4">
        <v>0.93406803401655225</v>
      </c>
      <c r="AN104" s="4">
        <v>0.9669408581110791</v>
      </c>
      <c r="AO104" s="4">
        <v>0.51</v>
      </c>
      <c r="AP104">
        <f t="shared" si="2"/>
        <v>2.7738682683964169</v>
      </c>
    </row>
    <row r="105" spans="29:42" x14ac:dyDescent="0.4">
      <c r="AC105" s="4">
        <v>0.51500000000000001</v>
      </c>
      <c r="AD105" s="4">
        <v>0.77137099022181332</v>
      </c>
      <c r="AE105" s="4">
        <v>0.5855064209572447</v>
      </c>
      <c r="AF105" s="4">
        <v>232.11701422679999</v>
      </c>
      <c r="AG105" s="4">
        <v>3009.1488683033444</v>
      </c>
      <c r="AH105" s="4">
        <v>1761.8759840078344</v>
      </c>
      <c r="AJ105" s="4">
        <v>0.96901698795742031</v>
      </c>
      <c r="AK105" s="4">
        <v>0.95758289672046792</v>
      </c>
      <c r="AL105" s="4">
        <v>0.93249644153462963</v>
      </c>
      <c r="AM105" s="4">
        <v>0.93042738465694386</v>
      </c>
      <c r="AN105" s="4">
        <v>0.96649141605672884</v>
      </c>
      <c r="AO105" s="4">
        <v>0.51500000000000001</v>
      </c>
      <c r="AP105">
        <f t="shared" si="2"/>
        <v>2.8500423586678383</v>
      </c>
    </row>
    <row r="106" spans="29:42" x14ac:dyDescent="0.4">
      <c r="AC106" s="4">
        <v>0.52</v>
      </c>
      <c r="AD106" s="4">
        <v>0.77081418882286956</v>
      </c>
      <c r="AE106" s="4">
        <v>0.58459658828719929</v>
      </c>
      <c r="AF106" s="4">
        <v>231.1210649403221</v>
      </c>
      <c r="AG106" s="4">
        <v>2998.4017976274295</v>
      </c>
      <c r="AH106" s="4">
        <v>1752.8554612072005</v>
      </c>
      <c r="AJ106" s="4">
        <v>0.96831751906199315</v>
      </c>
      <c r="AK106" s="4">
        <v>0.95609488536392528</v>
      </c>
      <c r="AL106" s="4">
        <v>0.92849535971525832</v>
      </c>
      <c r="AM106" s="4">
        <v>0.92710439556622704</v>
      </c>
      <c r="AN106" s="4">
        <v>0.96154313483018949</v>
      </c>
      <c r="AO106" s="4">
        <v>0.52</v>
      </c>
      <c r="AP106">
        <f t="shared" si="2"/>
        <v>2.7401542680257909</v>
      </c>
    </row>
    <row r="107" spans="29:42" x14ac:dyDescent="0.4">
      <c r="AC107" s="4">
        <v>0.52500000000000002</v>
      </c>
      <c r="AD107" s="4">
        <v>0.77012001476332936</v>
      </c>
      <c r="AE107" s="4">
        <v>0.58666253161481396</v>
      </c>
      <c r="AF107" s="4">
        <v>230.16666579637206</v>
      </c>
      <c r="AG107" s="4">
        <v>2988.7116473281903</v>
      </c>
      <c r="AH107" s="4">
        <v>1753.3651412882373</v>
      </c>
      <c r="AJ107" s="4">
        <v>0.96744547893497157</v>
      </c>
      <c r="AK107" s="4">
        <v>0.95947369031858876</v>
      </c>
      <c r="AL107" s="4">
        <v>0.92466119956762038</v>
      </c>
      <c r="AM107" s="4">
        <v>0.92410820574829444</v>
      </c>
      <c r="AN107" s="4">
        <v>0.96182272398840962</v>
      </c>
      <c r="AO107" s="4">
        <v>0.52500000000000002</v>
      </c>
      <c r="AP107">
        <f t="shared" si="2"/>
        <v>2.7705426886307025</v>
      </c>
    </row>
    <row r="108" spans="29:42" x14ac:dyDescent="0.4">
      <c r="AC108" s="4">
        <v>0.53</v>
      </c>
      <c r="AD108" s="4">
        <v>0.76764381132189852</v>
      </c>
      <c r="AE108" s="4">
        <v>0.5886115484534542</v>
      </c>
      <c r="AF108" s="4">
        <v>229.06447566506813</v>
      </c>
      <c r="AG108" s="4">
        <v>2983.9942990045652</v>
      </c>
      <c r="AH108" s="4">
        <v>1756.4135049133567</v>
      </c>
      <c r="AJ108" s="4">
        <v>0.96433480556145623</v>
      </c>
      <c r="AK108" s="4">
        <v>0.96266126456764778</v>
      </c>
      <c r="AL108" s="4">
        <v>0.92023331056189994</v>
      </c>
      <c r="AM108" s="4">
        <v>0.922649603912573</v>
      </c>
      <c r="AN108" s="4">
        <v>0.96349492867446007</v>
      </c>
      <c r="AO108" s="4">
        <v>0.53</v>
      </c>
      <c r="AP108">
        <f t="shared" si="2"/>
        <v>2.6182743719106032</v>
      </c>
    </row>
    <row r="109" spans="29:42" x14ac:dyDescent="0.4">
      <c r="AC109" s="4">
        <v>0.53500000000000003</v>
      </c>
      <c r="AD109" s="4">
        <v>0.76914349495592838</v>
      </c>
      <c r="AE109" s="4">
        <v>0.59122818880017491</v>
      </c>
      <c r="AF109" s="4">
        <v>227.5409383304162</v>
      </c>
      <c r="AG109" s="4">
        <v>2958.3678445262572</v>
      </c>
      <c r="AH109" s="4">
        <v>1749.0704625239364</v>
      </c>
      <c r="AJ109" s="4">
        <v>0.96621874848432765</v>
      </c>
      <c r="AK109" s="4">
        <v>0.96694072240654216</v>
      </c>
      <c r="AL109" s="4">
        <v>0.9141127202732453</v>
      </c>
      <c r="AM109" s="4">
        <v>0.91472591649735846</v>
      </c>
      <c r="AN109" s="4">
        <v>0.95946684298538021</v>
      </c>
      <c r="AO109" s="4">
        <v>0.53500000000000003</v>
      </c>
      <c r="AP109">
        <f t="shared" si="2"/>
        <v>2.8909740765890142</v>
      </c>
    </row>
    <row r="110" spans="29:42" x14ac:dyDescent="0.4">
      <c r="AC110" s="4">
        <v>0.54</v>
      </c>
      <c r="AD110" s="4">
        <v>0.76646289689960079</v>
      </c>
      <c r="AE110" s="4">
        <v>0.59358706771726233</v>
      </c>
      <c r="AF110" s="4">
        <v>225.951817492521</v>
      </c>
      <c r="AG110" s="4">
        <v>2947.9811535106637</v>
      </c>
      <c r="AH110" s="4">
        <v>1749.8834885981473</v>
      </c>
      <c r="AJ110" s="4">
        <v>0.9628513090973212</v>
      </c>
      <c r="AK110" s="4">
        <v>0.97079861708640658</v>
      </c>
      <c r="AL110" s="4">
        <v>0.90772865777165757</v>
      </c>
      <c r="AM110" s="4">
        <v>0.9115143566245073</v>
      </c>
      <c r="AN110" s="4">
        <v>0.95991283505797076</v>
      </c>
      <c r="AO110" s="4">
        <v>0.54</v>
      </c>
      <c r="AP110">
        <f t="shared" si="2"/>
        <v>2.7327643214228576</v>
      </c>
    </row>
    <row r="111" spans="29:42" x14ac:dyDescent="0.4">
      <c r="AC111" s="4">
        <v>0.54500000000000004</v>
      </c>
      <c r="AD111" s="4">
        <v>0.75493029010099599</v>
      </c>
      <c r="AE111" s="4">
        <v>0.59546649852809075</v>
      </c>
      <c r="AF111" s="4">
        <v>224.058512738281</v>
      </c>
      <c r="AG111" s="4">
        <v>2967.936452891644</v>
      </c>
      <c r="AH111" s="4">
        <v>1767.3067274572688</v>
      </c>
      <c r="AJ111" s="4">
        <v>0.94836373820738173</v>
      </c>
      <c r="AK111" s="4">
        <v>0.97387238491473616</v>
      </c>
      <c r="AL111" s="4">
        <v>0.90012258050088789</v>
      </c>
      <c r="AM111" s="4">
        <v>0.91768452560772562</v>
      </c>
      <c r="AN111" s="4">
        <v>0.96947049459252066</v>
      </c>
      <c r="AO111" s="4">
        <v>0.54500000000000004</v>
      </c>
      <c r="AP111">
        <f t="shared" si="2"/>
        <v>2.0255607451755591</v>
      </c>
    </row>
    <row r="112" spans="29:42" x14ac:dyDescent="0.4">
      <c r="AC112" s="4">
        <v>0.55000000000000004</v>
      </c>
      <c r="AD112" s="4">
        <v>0.75077240990660665</v>
      </c>
      <c r="AE112" s="4">
        <v>0.59811577627396117</v>
      </c>
      <c r="AF112" s="4">
        <v>221.92252020454384</v>
      </c>
      <c r="AG112" s="4">
        <v>2955.9226907679013</v>
      </c>
      <c r="AH112" s="4">
        <v>1767.9839947944595</v>
      </c>
      <c r="AJ112" s="4">
        <v>0.94314049725934412</v>
      </c>
      <c r="AK112" s="4">
        <v>0.97820522050338798</v>
      </c>
      <c r="AL112" s="4">
        <v>0.89154154027215116</v>
      </c>
      <c r="AM112" s="4">
        <v>0.91396987612978631</v>
      </c>
      <c r="AN112" s="4">
        <v>0.96984201510458379</v>
      </c>
      <c r="AO112" s="4">
        <v>0.55000000000000004</v>
      </c>
      <c r="AP112">
        <f t="shared" si="2"/>
        <v>1.9156906981795296</v>
      </c>
    </row>
    <row r="113" spans="29:42" x14ac:dyDescent="0.4">
      <c r="AC113" s="4">
        <v>0.55500000000000005</v>
      </c>
      <c r="AD113" s="4">
        <v>0.7477933744775539</v>
      </c>
      <c r="AE113" s="4">
        <v>0.60156765043530136</v>
      </c>
      <c r="AF113" s="4">
        <v>218.4985442866253</v>
      </c>
      <c r="AG113" s="4">
        <v>2921.9106740452116</v>
      </c>
      <c r="AH113" s="4">
        <v>1757.7269389672058</v>
      </c>
      <c r="AJ113" s="4">
        <v>0.93939815281669259</v>
      </c>
      <c r="AK113" s="4">
        <v>0.98385068490858885</v>
      </c>
      <c r="AL113" s="4">
        <v>0.87778621358920661</v>
      </c>
      <c r="AM113" s="4">
        <v>0.90345337689655192</v>
      </c>
      <c r="AN113" s="4">
        <v>0.96421542361855594</v>
      </c>
      <c r="AO113" s="4">
        <v>0.55500000000000005</v>
      </c>
      <c r="AP113">
        <f t="shared" si="2"/>
        <v>1.8905477346595951</v>
      </c>
    </row>
    <row r="114" spans="29:42" x14ac:dyDescent="0.4">
      <c r="AC114" s="4">
        <v>0.56000000000000005</v>
      </c>
      <c r="AD114" s="4">
        <v>0.74434035621859729</v>
      </c>
      <c r="AE114" s="4">
        <v>0.60494322288075286</v>
      </c>
      <c r="AF114" s="4">
        <v>215.14848147758346</v>
      </c>
      <c r="AG114" s="4">
        <v>2890.4583727071067</v>
      </c>
      <c r="AH114" s="4">
        <v>1748.5632035880935</v>
      </c>
      <c r="AJ114" s="4">
        <v>0.93506037839287881</v>
      </c>
      <c r="AK114" s="4">
        <v>0.98937135953265287</v>
      </c>
      <c r="AL114" s="4">
        <v>0.86432782210181369</v>
      </c>
      <c r="AM114" s="4">
        <v>0.89372834043069072</v>
      </c>
      <c r="AN114" s="4">
        <v>0.95918858196606882</v>
      </c>
      <c r="AO114" s="4">
        <v>0.56000000000000005</v>
      </c>
      <c r="AP114">
        <f t="shared" si="2"/>
        <v>1.849277167939084</v>
      </c>
    </row>
    <row r="115" spans="29:42" x14ac:dyDescent="0.4">
      <c r="AC115" s="4">
        <v>0.56500000000000006</v>
      </c>
      <c r="AD115" s="4">
        <v>0.74286480075283345</v>
      </c>
      <c r="AE115" s="4">
        <v>0.60830851117135087</v>
      </c>
      <c r="AF115" s="4">
        <v>212.2606564576171</v>
      </c>
      <c r="AG115" s="4">
        <v>2857.3255354474741</v>
      </c>
      <c r="AH115" s="4">
        <v>1738.135442399936</v>
      </c>
      <c r="AJ115" s="4">
        <v>0.93320674592403607</v>
      </c>
      <c r="AK115" s="4">
        <v>0.99487521464724205</v>
      </c>
      <c r="AL115" s="4">
        <v>0.85272640389529608</v>
      </c>
      <c r="AM115" s="4">
        <v>0.88348368306512615</v>
      </c>
      <c r="AN115" s="4">
        <v>0.95346834866445018</v>
      </c>
      <c r="AO115" s="4">
        <v>0.56500000000000006</v>
      </c>
      <c r="AP115">
        <f t="shared" si="2"/>
        <v>1.880357775418497</v>
      </c>
    </row>
    <row r="116" spans="29:42" x14ac:dyDescent="0.4">
      <c r="AC116" s="4">
        <v>0.57000000000000006</v>
      </c>
      <c r="AD116" s="4">
        <v>0.73904605379978217</v>
      </c>
      <c r="AE116" s="4">
        <v>0.61144202028094741</v>
      </c>
      <c r="AF116" s="4">
        <v>209.69501295345179</v>
      </c>
      <c r="AG116" s="4">
        <v>2837.3740969904575</v>
      </c>
      <c r="AH116" s="4">
        <v>1734.8897501566742</v>
      </c>
      <c r="AJ116" s="4">
        <v>0.9284095332765222</v>
      </c>
      <c r="AK116" s="4">
        <v>1</v>
      </c>
      <c r="AL116" s="4">
        <v>0.842419303203647</v>
      </c>
      <c r="AM116" s="4">
        <v>0.87731470787774279</v>
      </c>
      <c r="AN116" s="4">
        <v>0.95168789775828666</v>
      </c>
      <c r="AO116" s="4">
        <v>0.57000000000000006</v>
      </c>
      <c r="AP116">
        <f t="shared" si="2"/>
        <v>1.8259414414060646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CDB0-F111-47A5-8C48-A37BB2945D30}">
  <dimension ref="A1:X25"/>
  <sheetViews>
    <sheetView topLeftCell="B1" zoomScale="145" zoomScaleNormal="145" workbookViewId="0">
      <selection activeCell="K16" sqref="K16"/>
    </sheetView>
  </sheetViews>
  <sheetFormatPr defaultRowHeight="13.9" x14ac:dyDescent="0.4"/>
  <cols>
    <col min="1" max="1" width="4.53125" bestFit="1" customWidth="1"/>
    <col min="2" max="4" width="5.73046875" bestFit="1" customWidth="1"/>
    <col min="5" max="5" width="4.53125" bestFit="1" customWidth="1"/>
    <col min="6" max="8" width="5.73046875" bestFit="1" customWidth="1"/>
    <col min="9" max="9" width="4.265625" bestFit="1" customWidth="1"/>
    <col min="10" max="12" width="5.73046875" bestFit="1" customWidth="1"/>
    <col min="13" max="13" width="4.6640625" bestFit="1" customWidth="1"/>
    <col min="14" max="15" width="5.73046875" bestFit="1" customWidth="1"/>
    <col min="16" max="16" width="4.6640625" bestFit="1" customWidth="1"/>
    <col min="17" max="18" width="5.73046875" bestFit="1" customWidth="1"/>
    <col min="19" max="19" width="4.6640625" bestFit="1" customWidth="1"/>
    <col min="20" max="21" width="5.73046875" bestFit="1" customWidth="1"/>
    <col min="22" max="22" width="4.6640625" bestFit="1" customWidth="1"/>
    <col min="23" max="24" width="5.73046875" bestFit="1" customWidth="1"/>
  </cols>
  <sheetData>
    <row r="1" spans="1:24" ht="15" x14ac:dyDescent="0.4">
      <c r="A1" s="1" t="s">
        <v>0</v>
      </c>
      <c r="B1" s="1" t="s">
        <v>1</v>
      </c>
      <c r="C1" s="1" t="s">
        <v>21</v>
      </c>
      <c r="D1" s="1" t="s">
        <v>7</v>
      </c>
      <c r="E1" s="1" t="s">
        <v>2</v>
      </c>
      <c r="F1" s="1" t="s">
        <v>3</v>
      </c>
      <c r="G1" s="1" t="s">
        <v>22</v>
      </c>
      <c r="H1" s="1" t="s">
        <v>8</v>
      </c>
      <c r="I1" s="1" t="s">
        <v>4</v>
      </c>
      <c r="J1" s="1" t="s">
        <v>5</v>
      </c>
      <c r="K1" s="1" t="s">
        <v>23</v>
      </c>
      <c r="L1" s="1" t="s">
        <v>9</v>
      </c>
      <c r="M1" s="1" t="s">
        <v>6</v>
      </c>
      <c r="N1" s="1" t="s">
        <v>10</v>
      </c>
      <c r="O1" s="1" t="s">
        <v>17</v>
      </c>
      <c r="P1" s="1" t="s">
        <v>11</v>
      </c>
      <c r="Q1" s="1" t="s">
        <v>12</v>
      </c>
      <c r="R1" s="1" t="s">
        <v>18</v>
      </c>
      <c r="S1" s="1" t="s">
        <v>13</v>
      </c>
      <c r="T1" s="1" t="s">
        <v>14</v>
      </c>
      <c r="U1" s="1" t="s">
        <v>19</v>
      </c>
      <c r="V1" s="1" t="s">
        <v>15</v>
      </c>
      <c r="W1" s="1" t="s">
        <v>16</v>
      </c>
      <c r="X1" s="1" t="s">
        <v>20</v>
      </c>
    </row>
    <row r="2" spans="1:24" x14ac:dyDescent="0.4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38</v>
      </c>
      <c r="N2" s="3">
        <v>0.36</v>
      </c>
      <c r="O2" s="3">
        <v>0</v>
      </c>
      <c r="P2" s="2">
        <v>40</v>
      </c>
      <c r="Q2" s="3">
        <v>0.37</v>
      </c>
      <c r="R2" s="3">
        <v>0</v>
      </c>
      <c r="S2" s="2">
        <v>60</v>
      </c>
      <c r="T2" s="3">
        <v>0.36</v>
      </c>
      <c r="U2" s="3">
        <v>0</v>
      </c>
      <c r="V2" s="2">
        <v>65</v>
      </c>
      <c r="W2" s="3">
        <v>0.4</v>
      </c>
      <c r="X2" s="3">
        <v>1</v>
      </c>
    </row>
    <row r="3" spans="1:24" x14ac:dyDescent="0.4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40</v>
      </c>
      <c r="N3" s="3">
        <v>0.41</v>
      </c>
      <c r="O3" s="3">
        <v>1</v>
      </c>
      <c r="P3" s="2">
        <v>45</v>
      </c>
      <c r="Q3" s="3">
        <v>0.38</v>
      </c>
      <c r="R3" s="3">
        <v>0.73333333333333361</v>
      </c>
      <c r="S3" s="2">
        <v>60</v>
      </c>
      <c r="T3" s="3">
        <v>0.39</v>
      </c>
      <c r="U3" s="3">
        <v>1</v>
      </c>
      <c r="V3" s="2">
        <v>61</v>
      </c>
      <c r="W3" s="3">
        <v>0.48</v>
      </c>
      <c r="X3" s="3">
        <v>1</v>
      </c>
    </row>
    <row r="4" spans="1:24" x14ac:dyDescent="0.4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34</v>
      </c>
      <c r="N4" s="3">
        <v>0.42</v>
      </c>
      <c r="O4" s="3">
        <v>1</v>
      </c>
      <c r="P4" s="2">
        <v>40</v>
      </c>
      <c r="Q4" s="3">
        <v>0.38</v>
      </c>
      <c r="R4" s="3">
        <v>0</v>
      </c>
      <c r="S4" s="2">
        <v>60</v>
      </c>
      <c r="T4" s="3">
        <v>0.36</v>
      </c>
      <c r="U4" s="3">
        <v>0</v>
      </c>
      <c r="V4" s="2">
        <v>75</v>
      </c>
      <c r="W4" s="3">
        <v>0.41</v>
      </c>
      <c r="X4" s="3">
        <v>0.42977630684446527</v>
      </c>
    </row>
    <row r="5" spans="1:24" x14ac:dyDescent="0.4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35</v>
      </c>
      <c r="N5" s="3">
        <v>0.45</v>
      </c>
      <c r="O5" s="3">
        <v>1</v>
      </c>
      <c r="P5" s="2">
        <v>40</v>
      </c>
      <c r="Q5" s="3">
        <v>0.41</v>
      </c>
      <c r="R5" s="3">
        <v>1</v>
      </c>
      <c r="S5" s="2">
        <v>60</v>
      </c>
      <c r="T5" s="3">
        <v>0.4</v>
      </c>
      <c r="U5" s="3">
        <v>1</v>
      </c>
      <c r="V5" s="2">
        <v>65</v>
      </c>
      <c r="W5" s="3">
        <v>0.39</v>
      </c>
      <c r="X5" s="3">
        <v>1</v>
      </c>
    </row>
    <row r="6" spans="1:24" x14ac:dyDescent="0.4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80</v>
      </c>
      <c r="N6" s="3">
        <v>0.39</v>
      </c>
      <c r="O6" s="3">
        <v>1</v>
      </c>
      <c r="P6" s="2">
        <v>75</v>
      </c>
      <c r="Q6" s="3">
        <v>0.36</v>
      </c>
      <c r="R6" s="3">
        <v>0</v>
      </c>
      <c r="S6" s="2">
        <v>70</v>
      </c>
      <c r="T6" s="3">
        <v>0.38</v>
      </c>
      <c r="U6" s="3">
        <v>0</v>
      </c>
      <c r="V6" s="2">
        <v>70</v>
      </c>
      <c r="W6" s="3">
        <v>0.42</v>
      </c>
      <c r="X6" s="3">
        <v>1</v>
      </c>
    </row>
    <row r="7" spans="1:24" x14ac:dyDescent="0.4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40</v>
      </c>
      <c r="N7" s="3">
        <v>0.36</v>
      </c>
      <c r="O7" s="3">
        <v>0</v>
      </c>
      <c r="P7" s="2">
        <v>55</v>
      </c>
      <c r="Q7" s="3">
        <v>0.39</v>
      </c>
      <c r="R7" s="3">
        <v>0</v>
      </c>
      <c r="S7" s="2">
        <v>80</v>
      </c>
      <c r="T7" s="3">
        <v>0.44</v>
      </c>
      <c r="U7" s="3">
        <v>0</v>
      </c>
      <c r="V7" s="2">
        <v>90</v>
      </c>
      <c r="W7" s="3">
        <v>0.46</v>
      </c>
      <c r="X7" s="3">
        <v>0.69347919058229313</v>
      </c>
    </row>
    <row r="8" spans="1:24" x14ac:dyDescent="0.4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35</v>
      </c>
      <c r="N8" s="3">
        <v>0.53</v>
      </c>
      <c r="O8" s="3">
        <v>1</v>
      </c>
      <c r="P8" s="2">
        <v>41</v>
      </c>
      <c r="Q8" s="3">
        <v>0.37</v>
      </c>
      <c r="R8" s="3">
        <v>0</v>
      </c>
      <c r="S8" s="2">
        <v>60</v>
      </c>
      <c r="T8" s="3">
        <v>0.38</v>
      </c>
      <c r="U8" s="3">
        <v>0</v>
      </c>
      <c r="V8" s="2">
        <v>80</v>
      </c>
      <c r="W8" s="3">
        <v>0.46</v>
      </c>
      <c r="X8" s="3">
        <v>1</v>
      </c>
    </row>
    <row r="9" spans="1:24" x14ac:dyDescent="0.4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32</v>
      </c>
      <c r="N9" s="3">
        <v>0.46</v>
      </c>
      <c r="O9" s="3">
        <v>1</v>
      </c>
      <c r="P9" s="2">
        <v>55</v>
      </c>
      <c r="Q9" s="3">
        <v>0.38</v>
      </c>
      <c r="R9" s="3">
        <v>0</v>
      </c>
      <c r="S9" s="2">
        <v>70</v>
      </c>
      <c r="T9" s="3">
        <v>0.4</v>
      </c>
      <c r="U9" s="3">
        <v>0.3285714285714284</v>
      </c>
      <c r="V9" s="2">
        <v>100</v>
      </c>
      <c r="W9" s="3">
        <v>0.46</v>
      </c>
      <c r="X9" s="3">
        <v>1</v>
      </c>
    </row>
    <row r="10" spans="1:24" x14ac:dyDescent="0.4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85</v>
      </c>
      <c r="N10" s="3">
        <v>0.36</v>
      </c>
      <c r="O10" s="3">
        <v>0</v>
      </c>
      <c r="P10" s="2">
        <v>55</v>
      </c>
      <c r="Q10" s="3">
        <v>0.44</v>
      </c>
      <c r="R10" s="3">
        <v>1</v>
      </c>
      <c r="S10" s="2">
        <v>60</v>
      </c>
      <c r="T10" s="3">
        <v>0.37</v>
      </c>
      <c r="U10" s="3">
        <v>0</v>
      </c>
      <c r="V10" s="2">
        <v>60</v>
      </c>
      <c r="W10" s="3">
        <v>0.39</v>
      </c>
      <c r="X10" s="3">
        <v>0.47553616923415215</v>
      </c>
    </row>
    <row r="11" spans="1:24" x14ac:dyDescent="0.4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33</v>
      </c>
      <c r="N11" s="3">
        <v>0.38</v>
      </c>
      <c r="O11" s="3">
        <v>0</v>
      </c>
      <c r="P11" s="2">
        <v>55</v>
      </c>
      <c r="Q11" s="3">
        <v>0.47</v>
      </c>
      <c r="R11" s="3">
        <v>1</v>
      </c>
      <c r="S11" s="2">
        <v>60</v>
      </c>
      <c r="T11" s="3">
        <v>0.39</v>
      </c>
      <c r="U11" s="3">
        <v>0</v>
      </c>
      <c r="V11" s="2">
        <v>85</v>
      </c>
      <c r="W11" s="3">
        <v>0.42</v>
      </c>
      <c r="X11" s="3">
        <v>1</v>
      </c>
    </row>
    <row r="12" spans="1:24" x14ac:dyDescent="0.4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30</v>
      </c>
      <c r="N12" s="3">
        <v>0.51</v>
      </c>
      <c r="O12" s="3">
        <v>1</v>
      </c>
      <c r="P12" s="2">
        <v>55</v>
      </c>
      <c r="Q12" s="3">
        <v>0.49</v>
      </c>
      <c r="R12" s="3">
        <v>0.11166469698456083</v>
      </c>
      <c r="S12" s="2">
        <v>60</v>
      </c>
      <c r="T12" s="3">
        <v>0.36</v>
      </c>
      <c r="U12" s="3">
        <v>0</v>
      </c>
      <c r="V12" s="2">
        <v>65</v>
      </c>
      <c r="W12" s="3">
        <v>0.59</v>
      </c>
      <c r="X12" s="3">
        <v>1</v>
      </c>
    </row>
    <row r="13" spans="1:24" x14ac:dyDescent="0.4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35</v>
      </c>
      <c r="N13" s="3">
        <v>0.41</v>
      </c>
      <c r="O13" s="3">
        <v>0.4285714285714286</v>
      </c>
      <c r="P13" s="2">
        <v>40</v>
      </c>
      <c r="Q13" s="3">
        <v>0.41</v>
      </c>
      <c r="R13" s="3">
        <v>0</v>
      </c>
      <c r="S13" s="2">
        <v>60</v>
      </c>
      <c r="T13" s="3">
        <v>0.38</v>
      </c>
      <c r="U13" s="3">
        <v>0</v>
      </c>
      <c r="V13" s="2">
        <v>45</v>
      </c>
      <c r="W13" s="3">
        <v>0.57999999999999996</v>
      </c>
      <c r="X13" s="3">
        <v>1</v>
      </c>
    </row>
    <row r="14" spans="1:24" x14ac:dyDescent="0.4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35</v>
      </c>
      <c r="N14" s="3">
        <v>0.56000000000000005</v>
      </c>
      <c r="O14" s="3">
        <v>1</v>
      </c>
      <c r="P14" s="2">
        <v>50</v>
      </c>
      <c r="Q14" s="3">
        <v>0.36</v>
      </c>
      <c r="R14" s="3">
        <v>0</v>
      </c>
      <c r="S14" s="2">
        <v>60</v>
      </c>
      <c r="T14" s="3">
        <v>0.56999999999999995</v>
      </c>
      <c r="U14" s="3">
        <v>1</v>
      </c>
      <c r="V14" s="2">
        <v>70</v>
      </c>
      <c r="W14" s="3">
        <v>0.54</v>
      </c>
      <c r="X14" s="3">
        <v>1</v>
      </c>
    </row>
    <row r="15" spans="1:24" x14ac:dyDescent="0.4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40</v>
      </c>
      <c r="N15" s="3">
        <v>0.41</v>
      </c>
      <c r="O15" s="3">
        <v>1</v>
      </c>
      <c r="P15" s="2">
        <v>60</v>
      </c>
      <c r="Q15" s="3">
        <v>0.37</v>
      </c>
      <c r="R15" s="3">
        <v>0</v>
      </c>
      <c r="S15" s="2">
        <v>65</v>
      </c>
      <c r="T15" s="3">
        <v>0.36</v>
      </c>
      <c r="U15" s="3">
        <v>0</v>
      </c>
      <c r="V15" s="2">
        <v>70</v>
      </c>
      <c r="W15" s="3">
        <v>0.52</v>
      </c>
      <c r="X15" s="3">
        <v>1</v>
      </c>
    </row>
    <row r="16" spans="1:24" x14ac:dyDescent="0.4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40</v>
      </c>
      <c r="N16" s="3">
        <v>0.37</v>
      </c>
      <c r="O16" s="3">
        <v>0</v>
      </c>
      <c r="P16" s="2">
        <v>45</v>
      </c>
      <c r="Q16" s="3">
        <v>0.4</v>
      </c>
      <c r="R16" s="3">
        <v>0</v>
      </c>
      <c r="S16" s="2">
        <v>70</v>
      </c>
      <c r="T16" s="3">
        <v>0.37</v>
      </c>
      <c r="U16" s="3">
        <v>0</v>
      </c>
      <c r="V16" s="2">
        <v>75</v>
      </c>
      <c r="W16" s="3">
        <v>0.48</v>
      </c>
      <c r="X16" s="3">
        <v>1</v>
      </c>
    </row>
    <row r="17" spans="1:24" x14ac:dyDescent="0.4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35</v>
      </c>
      <c r="N17" s="3">
        <v>0.35</v>
      </c>
      <c r="O17" s="3">
        <v>0</v>
      </c>
      <c r="P17" s="2">
        <v>45</v>
      </c>
      <c r="Q17" s="3">
        <v>0.36</v>
      </c>
      <c r="R17" s="3">
        <v>0</v>
      </c>
      <c r="S17" s="2">
        <v>60</v>
      </c>
      <c r="T17" s="3">
        <v>0.38</v>
      </c>
      <c r="U17" s="3">
        <v>1</v>
      </c>
      <c r="V17" s="2">
        <v>65</v>
      </c>
      <c r="W17" s="3">
        <v>0.46</v>
      </c>
      <c r="X17" s="3">
        <v>1</v>
      </c>
    </row>
    <row r="18" spans="1:24" x14ac:dyDescent="0.4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60</v>
      </c>
      <c r="N18" s="3">
        <v>0.38</v>
      </c>
      <c r="O18" s="3">
        <v>0.18893079628410436</v>
      </c>
      <c r="P18" s="2">
        <v>40</v>
      </c>
      <c r="Q18" s="3">
        <v>0.37</v>
      </c>
      <c r="R18" s="3">
        <v>0</v>
      </c>
      <c r="S18" s="2">
        <v>60</v>
      </c>
      <c r="T18" s="3">
        <v>0.34</v>
      </c>
      <c r="U18" s="3">
        <v>0</v>
      </c>
      <c r="V18" s="2">
        <v>65</v>
      </c>
      <c r="W18" s="3">
        <v>0.39</v>
      </c>
      <c r="X18" s="3">
        <v>1</v>
      </c>
    </row>
    <row r="19" spans="1:24" x14ac:dyDescent="0.4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60</v>
      </c>
      <c r="N19" s="3">
        <v>0.37</v>
      </c>
      <c r="O19" s="3">
        <v>0</v>
      </c>
      <c r="P19" s="2">
        <v>45</v>
      </c>
      <c r="Q19" s="3">
        <v>0.46</v>
      </c>
      <c r="R19" s="3">
        <v>1</v>
      </c>
      <c r="S19" s="2">
        <v>55</v>
      </c>
      <c r="T19" s="3">
        <v>0.41</v>
      </c>
      <c r="U19" s="3">
        <v>1</v>
      </c>
      <c r="V19" s="2">
        <v>65</v>
      </c>
      <c r="W19" s="3">
        <v>0.42</v>
      </c>
      <c r="X19" s="3">
        <v>1</v>
      </c>
    </row>
    <row r="20" spans="1:24" x14ac:dyDescent="0.4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60</v>
      </c>
      <c r="N20" s="3">
        <v>0.46</v>
      </c>
      <c r="O20" s="3">
        <v>1</v>
      </c>
      <c r="P20" s="2">
        <v>45</v>
      </c>
      <c r="Q20" s="3">
        <v>0.37</v>
      </c>
      <c r="R20" s="3">
        <v>0</v>
      </c>
      <c r="S20" s="2">
        <v>55</v>
      </c>
      <c r="T20" s="3">
        <v>0.38</v>
      </c>
      <c r="U20" s="3">
        <v>0.28490198211794593</v>
      </c>
      <c r="V20" s="2">
        <v>65</v>
      </c>
      <c r="W20" s="3">
        <v>0.47</v>
      </c>
      <c r="X20" s="3">
        <v>1</v>
      </c>
    </row>
    <row r="21" spans="1:24" x14ac:dyDescent="0.4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60</v>
      </c>
      <c r="N21" s="3">
        <v>0.54</v>
      </c>
      <c r="O21" s="3">
        <v>1</v>
      </c>
      <c r="P21" s="2">
        <v>35</v>
      </c>
      <c r="Q21" s="3">
        <v>0.56000000000000005</v>
      </c>
      <c r="R21" s="3">
        <v>1</v>
      </c>
      <c r="S21" s="2">
        <v>55</v>
      </c>
      <c r="T21" s="3">
        <v>0.54</v>
      </c>
      <c r="U21" s="3">
        <v>1</v>
      </c>
      <c r="V21" s="2">
        <v>65</v>
      </c>
      <c r="W21" s="3">
        <v>0.37</v>
      </c>
      <c r="X21" s="3">
        <v>0</v>
      </c>
    </row>
    <row r="22" spans="1:24" x14ac:dyDescent="0.4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40</v>
      </c>
      <c r="N22" s="3">
        <v>0.38</v>
      </c>
      <c r="O22" s="3">
        <v>0</v>
      </c>
      <c r="P22" s="2">
        <v>50</v>
      </c>
      <c r="Q22" s="3">
        <v>0.39</v>
      </c>
      <c r="R22" s="3">
        <v>0</v>
      </c>
      <c r="S22" s="2">
        <v>60</v>
      </c>
      <c r="T22" s="3">
        <v>0.38</v>
      </c>
      <c r="U22" s="3">
        <v>0</v>
      </c>
      <c r="V22" s="2">
        <v>65</v>
      </c>
      <c r="W22" s="3">
        <v>0.43</v>
      </c>
      <c r="X22" s="3">
        <v>1</v>
      </c>
    </row>
    <row r="23" spans="1:24" x14ac:dyDescent="0.4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30</v>
      </c>
      <c r="N23" s="3">
        <v>0.37</v>
      </c>
      <c r="O23" s="3">
        <v>0</v>
      </c>
      <c r="P23" s="2">
        <v>45</v>
      </c>
      <c r="Q23" s="3">
        <v>0.38</v>
      </c>
      <c r="R23" s="3">
        <v>0.33333333333333348</v>
      </c>
      <c r="S23" s="2">
        <v>55</v>
      </c>
      <c r="T23" s="3">
        <v>0.36</v>
      </c>
      <c r="U23" s="3">
        <v>0</v>
      </c>
      <c r="V23" s="2">
        <v>65</v>
      </c>
      <c r="W23" s="3">
        <v>0.43</v>
      </c>
      <c r="X23" s="3">
        <v>1</v>
      </c>
    </row>
    <row r="24" spans="1:24" x14ac:dyDescent="0.4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35</v>
      </c>
      <c r="N24" s="3">
        <v>0.39</v>
      </c>
      <c r="O24" s="3">
        <v>1</v>
      </c>
      <c r="P24" s="2">
        <v>45</v>
      </c>
      <c r="Q24" s="3">
        <v>0.39</v>
      </c>
      <c r="R24" s="3">
        <v>0.88888888888888906</v>
      </c>
      <c r="S24" s="2">
        <v>60</v>
      </c>
      <c r="T24" s="3">
        <v>0.37</v>
      </c>
      <c r="U24" s="3">
        <v>0</v>
      </c>
      <c r="V24" s="2">
        <v>70</v>
      </c>
      <c r="W24" s="3">
        <v>0.43</v>
      </c>
      <c r="X24" s="3">
        <v>1</v>
      </c>
    </row>
    <row r="25" spans="1:24" x14ac:dyDescent="0.4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30</v>
      </c>
      <c r="N25" s="3">
        <v>0.36</v>
      </c>
      <c r="O25" s="3">
        <v>0</v>
      </c>
      <c r="P25" s="2">
        <v>45</v>
      </c>
      <c r="Q25" s="3">
        <v>0.42</v>
      </c>
      <c r="R25" s="3">
        <v>1</v>
      </c>
      <c r="S25" s="2">
        <v>55</v>
      </c>
      <c r="T25" s="3">
        <v>0.42</v>
      </c>
      <c r="U25" s="3">
        <v>1</v>
      </c>
      <c r="V25" s="2">
        <v>68</v>
      </c>
      <c r="W25" s="3">
        <v>0.38</v>
      </c>
      <c r="X25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cp:lastPrinted>2024-04-12T06:36:52Z</cp:lastPrinted>
  <dcterms:created xsi:type="dcterms:W3CDTF">2015-06-05T18:19:34Z</dcterms:created>
  <dcterms:modified xsi:type="dcterms:W3CDTF">2024-04-23T12:37:20Z</dcterms:modified>
</cp:coreProperties>
</file>