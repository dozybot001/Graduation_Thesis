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Program Files\Polyspace\R2020b\bin\MatlabCode\"/>
    </mc:Choice>
  </mc:AlternateContent>
  <xr:revisionPtr revIDLastSave="0" documentId="13_ncr:1_{1F76ED5F-28FC-4975-913A-54A1CCF77D96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3" i="1" l="1"/>
  <c r="BR4" i="1" s="1"/>
  <c r="BR5" i="1" s="1"/>
  <c r="BR6" i="1" s="1"/>
  <c r="BR7" i="1" s="1"/>
  <c r="BR8" i="1" s="1"/>
  <c r="BR9" i="1" s="1"/>
  <c r="BR10" i="1" s="1"/>
  <c r="BR11" i="1" s="1"/>
  <c r="BR12" i="1" s="1"/>
  <c r="BR13" i="1" s="1"/>
  <c r="BR14" i="1" s="1"/>
  <c r="BR15" i="1" s="1"/>
  <c r="BR16" i="1" s="1"/>
  <c r="BR17" i="1" s="1"/>
  <c r="BR18" i="1" s="1"/>
  <c r="BR19" i="1" s="1"/>
  <c r="BR20" i="1" s="1"/>
  <c r="BR21" i="1" s="1"/>
  <c r="BR22" i="1" s="1"/>
  <c r="BR23" i="1" s="1"/>
  <c r="BR24" i="1" s="1"/>
  <c r="BR25" i="1" s="1"/>
  <c r="BC3" i="1"/>
  <c r="BC4" i="1" s="1"/>
  <c r="BC5" i="1" s="1"/>
  <c r="BC6" i="1" s="1"/>
  <c r="BC7" i="1" s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" i="1"/>
  <c r="AR3" i="1"/>
  <c r="AR4" i="1" s="1"/>
  <c r="AR5" i="1" s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K3" i="1"/>
  <c r="AL3" i="1" s="1"/>
  <c r="AK4" i="1"/>
  <c r="AL4" i="1" s="1"/>
  <c r="AK5" i="1"/>
  <c r="AL5" i="1" s="1"/>
  <c r="AK6" i="1"/>
  <c r="AL6" i="1" s="1"/>
  <c r="AK7" i="1"/>
  <c r="AL7" i="1" s="1"/>
  <c r="AK8" i="1"/>
  <c r="AL8" i="1" s="1"/>
  <c r="AK9" i="1"/>
  <c r="AL9" i="1" s="1"/>
  <c r="AK10" i="1"/>
  <c r="AL10" i="1" s="1"/>
  <c r="AK11" i="1"/>
  <c r="AL11" i="1" s="1"/>
  <c r="AK12" i="1"/>
  <c r="AL12" i="1" s="1"/>
  <c r="AK13" i="1"/>
  <c r="AL13" i="1" s="1"/>
  <c r="AK14" i="1"/>
  <c r="AL14" i="1" s="1"/>
  <c r="AK15" i="1"/>
  <c r="AL15" i="1" s="1"/>
  <c r="AK16" i="1"/>
  <c r="AL16" i="1" s="1"/>
  <c r="AK17" i="1"/>
  <c r="AL17" i="1" s="1"/>
  <c r="AK18" i="1"/>
  <c r="AL18" i="1" s="1"/>
  <c r="AK19" i="1"/>
  <c r="AL19" i="1" s="1"/>
  <c r="AK20" i="1"/>
  <c r="AL20" i="1" s="1"/>
  <c r="AK21" i="1"/>
  <c r="AL21" i="1" s="1"/>
  <c r="AK22" i="1"/>
  <c r="AL22" i="1" s="1"/>
  <c r="AK23" i="1"/>
  <c r="AL23" i="1" s="1"/>
  <c r="AK24" i="1"/>
  <c r="AL24" i="1" s="1"/>
  <c r="AK25" i="1"/>
  <c r="AL25" i="1" s="1"/>
  <c r="AK2" i="1"/>
  <c r="AL2" i="1" s="1"/>
  <c r="AI3" i="1"/>
  <c r="AJ3" i="1" s="1"/>
  <c r="AI4" i="1"/>
  <c r="AJ4" i="1" s="1"/>
  <c r="AI5" i="1"/>
  <c r="AJ5" i="1" s="1"/>
  <c r="AI6" i="1"/>
  <c r="AJ6" i="1" s="1"/>
  <c r="AI7" i="1"/>
  <c r="AJ7" i="1" s="1"/>
  <c r="AI8" i="1"/>
  <c r="AJ8" i="1" s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" i="1"/>
  <c r="AJ2" i="1" s="1"/>
  <c r="AG3" i="1"/>
  <c r="AH3" i="1" s="1"/>
  <c r="AG4" i="1"/>
  <c r="AH4" i="1" s="1"/>
  <c r="AG5" i="1"/>
  <c r="AH5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H11" i="1" s="1"/>
  <c r="AG12" i="1"/>
  <c r="AH12" i="1" s="1"/>
  <c r="AG13" i="1"/>
  <c r="AH13" i="1" s="1"/>
  <c r="AG14" i="1"/>
  <c r="AH14" i="1" s="1"/>
  <c r="AG15" i="1"/>
  <c r="AH15" i="1" s="1"/>
  <c r="AG16" i="1"/>
  <c r="AH16" i="1" s="1"/>
  <c r="AG17" i="1"/>
  <c r="AH17" i="1" s="1"/>
  <c r="AG18" i="1"/>
  <c r="AH18" i="1" s="1"/>
  <c r="AG19" i="1"/>
  <c r="AH19" i="1" s="1"/>
  <c r="AG20" i="1"/>
  <c r="AH20" i="1" s="1"/>
  <c r="AG21" i="1"/>
  <c r="AH21" i="1" s="1"/>
  <c r="AG22" i="1"/>
  <c r="AH22" i="1" s="1"/>
  <c r="AG23" i="1"/>
  <c r="AH23" i="1" s="1"/>
  <c r="AG24" i="1"/>
  <c r="AH24" i="1" s="1"/>
  <c r="AG25" i="1"/>
  <c r="AH25" i="1" s="1"/>
  <c r="AG2" i="1"/>
  <c r="AH2" i="1" s="1"/>
  <c r="AE3" i="1"/>
  <c r="AF3" i="1" s="1"/>
  <c r="AE4" i="1"/>
  <c r="AF4" i="1" s="1"/>
  <c r="AE5" i="1"/>
  <c r="AE6" i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" i="1"/>
  <c r="AF2" i="1" s="1"/>
  <c r="Y2" i="1"/>
  <c r="AC3" i="1"/>
  <c r="AD3" i="1" s="1"/>
  <c r="AC4" i="1"/>
  <c r="AD4" i="1" s="1"/>
  <c r="AC5" i="1"/>
  <c r="AD5" i="1" s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" i="1"/>
  <c r="AD2" i="1" s="1"/>
  <c r="AA3" i="1"/>
  <c r="AB3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" i="1"/>
  <c r="AB2" i="1" s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Y18" i="1"/>
  <c r="Z18" i="1" s="1"/>
  <c r="Y19" i="1"/>
  <c r="Y20" i="1"/>
  <c r="Y21" i="1"/>
  <c r="Z21" i="1" s="1"/>
  <c r="Y22" i="1"/>
  <c r="Z22" i="1" s="1"/>
  <c r="Y23" i="1"/>
  <c r="Z23" i="1" s="1"/>
  <c r="Y24" i="1"/>
  <c r="Z24" i="1" s="1"/>
  <c r="Y25" i="1"/>
  <c r="Z25" i="1" s="1"/>
  <c r="AP22" i="1" l="1"/>
  <c r="AO6" i="1"/>
  <c r="AN20" i="1"/>
  <c r="AP13" i="1"/>
  <c r="AN19" i="1"/>
  <c r="AN23" i="1"/>
  <c r="AN2" i="1"/>
  <c r="AP11" i="1"/>
  <c r="AO22" i="1"/>
  <c r="AO12" i="1"/>
  <c r="AP12" i="1"/>
  <c r="AP4" i="1"/>
  <c r="AP7" i="1"/>
  <c r="AO11" i="1"/>
  <c r="AP3" i="1"/>
  <c r="AN11" i="1"/>
  <c r="AP18" i="1"/>
  <c r="AP10" i="1"/>
  <c r="AN7" i="1"/>
  <c r="AP24" i="1"/>
  <c r="AP25" i="1"/>
  <c r="AP9" i="1"/>
  <c r="AP16" i="1"/>
  <c r="AP8" i="1"/>
  <c r="AP23" i="1"/>
  <c r="AN12" i="1"/>
  <c r="AP15" i="1"/>
  <c r="AP21" i="1"/>
  <c r="AP14" i="1"/>
  <c r="AO16" i="1"/>
  <c r="AO15" i="1"/>
  <c r="AN10" i="1"/>
  <c r="AO20" i="1"/>
  <c r="AN15" i="1"/>
  <c r="AO4" i="1"/>
  <c r="AO25" i="1"/>
  <c r="AO9" i="1"/>
  <c r="AN4" i="1"/>
  <c r="AN6" i="1"/>
  <c r="AN25" i="1"/>
  <c r="AO14" i="1"/>
  <c r="AN9" i="1"/>
  <c r="AO5" i="1"/>
  <c r="AN21" i="1"/>
  <c r="AO19" i="1"/>
  <c r="AN14" i="1"/>
  <c r="AO3" i="1"/>
  <c r="AO17" i="1"/>
  <c r="AO24" i="1"/>
  <c r="AO8" i="1"/>
  <c r="AN3" i="1"/>
  <c r="AO21" i="1"/>
  <c r="AN24" i="1"/>
  <c r="AO13" i="1"/>
  <c r="AN8" i="1"/>
  <c r="AN17" i="1"/>
  <c r="AN22" i="1"/>
  <c r="AN5" i="1"/>
  <c r="AO18" i="1"/>
  <c r="AN13" i="1"/>
  <c r="AO2" i="1"/>
  <c r="AN16" i="1"/>
  <c r="AO10" i="1"/>
  <c r="AO23" i="1"/>
  <c r="AN18" i="1"/>
  <c r="AO7" i="1"/>
  <c r="AF5" i="1"/>
  <c r="AP5" i="1" s="1"/>
  <c r="AF6" i="1"/>
  <c r="AP6" i="1" s="1"/>
  <c r="Z2" i="1"/>
  <c r="AP2" i="1" s="1"/>
  <c r="Z19" i="1"/>
  <c r="AP19" i="1" s="1"/>
  <c r="Z17" i="1"/>
  <c r="AP17" i="1" s="1"/>
  <c r="Z20" i="1"/>
  <c r="AP20" i="1" s="1"/>
  <c r="AN26" i="1" l="1"/>
  <c r="AP26" i="1"/>
  <c r="AO26" i="1"/>
</calcChain>
</file>

<file path=xl/sharedStrings.xml><?xml version="1.0" encoding="utf-8"?>
<sst xmlns="http://schemas.openxmlformats.org/spreadsheetml/2006/main" count="67" uniqueCount="52">
  <si>
    <t>Ps1</t>
    <phoneticPr fontId="1" type="noConversion"/>
  </si>
  <si>
    <t>Cs1</t>
    <phoneticPr fontId="1" type="noConversion"/>
  </si>
  <si>
    <t>Ps2</t>
    <phoneticPr fontId="1" type="noConversion"/>
  </si>
  <si>
    <t>Cs2</t>
    <phoneticPr fontId="1" type="noConversion"/>
  </si>
  <si>
    <t>Ps3</t>
    <phoneticPr fontId="1" type="noConversion"/>
  </si>
  <si>
    <t>Cs3</t>
    <phoneticPr fontId="1" type="noConversion"/>
  </si>
  <si>
    <t>Pb1</t>
    <phoneticPr fontId="1" type="noConversion"/>
  </si>
  <si>
    <t>ss1</t>
    <phoneticPr fontId="1" type="noConversion"/>
  </si>
  <si>
    <t>ss2</t>
    <phoneticPr fontId="1" type="noConversion"/>
  </si>
  <si>
    <t>ss3</t>
    <phoneticPr fontId="1" type="noConversion"/>
  </si>
  <si>
    <t>Cb1</t>
    <phoneticPr fontId="1" type="noConversion"/>
  </si>
  <si>
    <t>Pb2</t>
    <phoneticPr fontId="1" type="noConversion"/>
  </si>
  <si>
    <t>Cb2</t>
    <phoneticPr fontId="1" type="noConversion"/>
  </si>
  <si>
    <t>Pb3</t>
    <phoneticPr fontId="1" type="noConversion"/>
  </si>
  <si>
    <t>Cb3</t>
    <phoneticPr fontId="1" type="noConversion"/>
  </si>
  <si>
    <t>Pb4</t>
    <phoneticPr fontId="1" type="noConversion"/>
  </si>
  <si>
    <t>Cb4</t>
    <phoneticPr fontId="1" type="noConversion"/>
  </si>
  <si>
    <t>sb1</t>
    <phoneticPr fontId="1" type="noConversion"/>
  </si>
  <si>
    <t>sb2</t>
    <phoneticPr fontId="1" type="noConversion"/>
  </si>
  <si>
    <t>sb3</t>
    <phoneticPr fontId="1" type="noConversion"/>
  </si>
  <si>
    <t>sb4</t>
    <phoneticPr fontId="1" type="noConversion"/>
  </si>
  <si>
    <t>总售电</t>
    <phoneticPr fontId="1" type="noConversion"/>
  </si>
  <si>
    <t>总购电</t>
    <phoneticPr fontId="1" type="noConversion"/>
  </si>
  <si>
    <t>社会福利</t>
    <phoneticPr fontId="1" type="noConversion"/>
  </si>
  <si>
    <t>obj</t>
    <phoneticPr fontId="1" type="noConversion"/>
  </si>
  <si>
    <t>合计</t>
    <phoneticPr fontId="1" type="noConversion"/>
  </si>
  <si>
    <t>电价</t>
    <phoneticPr fontId="1" type="noConversion"/>
  </si>
  <si>
    <t>时刻</t>
    <phoneticPr fontId="1" type="noConversion"/>
  </si>
  <si>
    <t>p</t>
    <phoneticPr fontId="1" type="noConversion"/>
  </si>
  <si>
    <r>
      <t>s1</t>
    </r>
    <r>
      <rPr>
        <b/>
        <sz val="12"/>
        <rFont val="宋体"/>
        <family val="1"/>
        <charset val="134"/>
      </rPr>
      <t>售电</t>
    </r>
    <phoneticPr fontId="1" type="noConversion"/>
  </si>
  <si>
    <r>
      <t>s1</t>
    </r>
    <r>
      <rPr>
        <b/>
        <sz val="12"/>
        <rFont val="宋体"/>
        <family val="1"/>
        <charset val="134"/>
      </rPr>
      <t>收益</t>
    </r>
    <phoneticPr fontId="1" type="noConversion"/>
  </si>
  <si>
    <r>
      <t>s2</t>
    </r>
    <r>
      <rPr>
        <b/>
        <sz val="12"/>
        <rFont val="宋体"/>
        <family val="1"/>
        <charset val="134"/>
      </rPr>
      <t>售电</t>
    </r>
    <phoneticPr fontId="1" type="noConversion"/>
  </si>
  <si>
    <r>
      <t>s2</t>
    </r>
    <r>
      <rPr>
        <b/>
        <sz val="12"/>
        <rFont val="宋体"/>
        <family val="1"/>
        <charset val="134"/>
      </rPr>
      <t>收益</t>
    </r>
    <phoneticPr fontId="1" type="noConversion"/>
  </si>
  <si>
    <r>
      <t>s3</t>
    </r>
    <r>
      <rPr>
        <b/>
        <sz val="12"/>
        <rFont val="宋体"/>
        <family val="1"/>
        <charset val="134"/>
      </rPr>
      <t>售电</t>
    </r>
    <phoneticPr fontId="1" type="noConversion"/>
  </si>
  <si>
    <r>
      <t>s3</t>
    </r>
    <r>
      <rPr>
        <b/>
        <sz val="12"/>
        <rFont val="宋体"/>
        <family val="1"/>
        <charset val="134"/>
      </rPr>
      <t>收益</t>
    </r>
    <phoneticPr fontId="1" type="noConversion"/>
  </si>
  <si>
    <r>
      <t>b1</t>
    </r>
    <r>
      <rPr>
        <b/>
        <sz val="12"/>
        <rFont val="宋体"/>
        <family val="1"/>
        <charset val="134"/>
      </rPr>
      <t>购电</t>
    </r>
    <phoneticPr fontId="1" type="noConversion"/>
  </si>
  <si>
    <r>
      <t>b1</t>
    </r>
    <r>
      <rPr>
        <b/>
        <sz val="12"/>
        <rFont val="宋体"/>
        <family val="1"/>
        <charset val="134"/>
      </rPr>
      <t>支出</t>
    </r>
    <phoneticPr fontId="1" type="noConversion"/>
  </si>
  <si>
    <r>
      <t>b2</t>
    </r>
    <r>
      <rPr>
        <b/>
        <sz val="12"/>
        <rFont val="宋体"/>
        <family val="1"/>
        <charset val="134"/>
      </rPr>
      <t>购电</t>
    </r>
    <phoneticPr fontId="1" type="noConversion"/>
  </si>
  <si>
    <r>
      <t>b2</t>
    </r>
    <r>
      <rPr>
        <b/>
        <sz val="12"/>
        <rFont val="宋体"/>
        <family val="1"/>
        <charset val="134"/>
      </rPr>
      <t>支出</t>
    </r>
    <phoneticPr fontId="1" type="noConversion"/>
  </si>
  <si>
    <r>
      <t>b3</t>
    </r>
    <r>
      <rPr>
        <b/>
        <sz val="12"/>
        <rFont val="宋体"/>
        <family val="1"/>
        <charset val="134"/>
      </rPr>
      <t>购电</t>
    </r>
    <phoneticPr fontId="1" type="noConversion"/>
  </si>
  <si>
    <r>
      <t>b3</t>
    </r>
    <r>
      <rPr>
        <b/>
        <sz val="12"/>
        <rFont val="宋体"/>
        <family val="1"/>
        <charset val="134"/>
      </rPr>
      <t>支出</t>
    </r>
    <phoneticPr fontId="1" type="noConversion"/>
  </si>
  <si>
    <r>
      <t>b4</t>
    </r>
    <r>
      <rPr>
        <b/>
        <sz val="12"/>
        <rFont val="宋体"/>
        <family val="1"/>
        <charset val="134"/>
      </rPr>
      <t>购电</t>
    </r>
    <phoneticPr fontId="1" type="noConversion"/>
  </si>
  <si>
    <r>
      <t>b4</t>
    </r>
    <r>
      <rPr>
        <b/>
        <sz val="12"/>
        <rFont val="宋体"/>
        <family val="1"/>
        <charset val="134"/>
      </rPr>
      <t>支出</t>
    </r>
    <phoneticPr fontId="1" type="noConversion"/>
  </si>
  <si>
    <t>T</t>
    <phoneticPr fontId="1" type="noConversion"/>
  </si>
  <si>
    <t>Ps1</t>
  </si>
  <si>
    <t>Ps2</t>
  </si>
  <si>
    <t>Ps3</t>
  </si>
  <si>
    <t>Pb1</t>
  </si>
  <si>
    <t>Pb2</t>
  </si>
  <si>
    <t>Pb3</t>
  </si>
  <si>
    <t>Pb4</t>
  </si>
  <si>
    <t>sw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</si>
</sst>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_);[Red]\(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Times New Roman"/>
      <family val="1"/>
    </font>
    <font>
      <b/>
      <sz val="12"/>
      <name val="宋体"/>
      <family val="1"/>
      <charset val="134"/>
    </font>
    <font>
      <b/>
      <sz val="12"/>
      <name val="等线"/>
      <family val="2"/>
      <scheme val="minor"/>
    </font>
    <font>
      <sz val="11"/>
      <name val="Times New Roman"/>
      <family val="1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7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7" fontId="5" fillId="2" borderId="3" xfId="0" applyNumberFormat="1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177" fontId="5" fillId="2" borderId="4" xfId="0" applyNumberFormat="1" applyFont="1" applyFill="1" applyBorder="1" applyAlignment="1">
      <alignment horizontal="center" vertical="center"/>
    </xf>
    <xf numFmtId="176" fontId="5" fillId="2" borderId="5" xfId="0" applyNumberFormat="1" applyFont="1" applyFill="1" applyBorder="1" applyAlignment="1">
      <alignment horizontal="center" vertical="center"/>
    </xf>
    <xf numFmtId="177" fontId="2" fillId="2" borderId="6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6" fontId="2" fillId="2" borderId="7" xfId="0" applyNumberFormat="1" applyFont="1" applyFill="1" applyBorder="1" applyAlignment="1">
      <alignment horizontal="center" vertical="center"/>
    </xf>
    <xf numFmtId="177" fontId="2" fillId="2" borderId="7" xfId="0" applyNumberFormat="1" applyFont="1" applyFill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7" fontId="2" fillId="2" borderId="9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Sheet1!$AS$1</c:f>
              <c:strCache>
                <c:ptCount val="1"/>
                <c:pt idx="0">
                  <c:v>电价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Sheet1!$AR$2:$AR$25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Sheet1!$AS$2:$AS$25</c:f>
              <c:numCache>
                <c:formatCode>General</c:formatCode>
                <c:ptCount val="24"/>
                <c:pt idx="0">
                  <c:v>0.38</c:v>
                </c:pt>
                <c:pt idx="1">
                  <c:v>0.38</c:v>
                </c:pt>
                <c:pt idx="2">
                  <c:v>0.38</c:v>
                </c:pt>
                <c:pt idx="3">
                  <c:v>0.38</c:v>
                </c:pt>
                <c:pt idx="4">
                  <c:v>0.39</c:v>
                </c:pt>
                <c:pt idx="5">
                  <c:v>0.44</c:v>
                </c:pt>
                <c:pt idx="6">
                  <c:v>0.4</c:v>
                </c:pt>
                <c:pt idx="7">
                  <c:v>0.4</c:v>
                </c:pt>
                <c:pt idx="8">
                  <c:v>0.39</c:v>
                </c:pt>
                <c:pt idx="9">
                  <c:v>0.41</c:v>
                </c:pt>
                <c:pt idx="10">
                  <c:v>0.44</c:v>
                </c:pt>
                <c:pt idx="11">
                  <c:v>0.41</c:v>
                </c:pt>
                <c:pt idx="12">
                  <c:v>0.38</c:v>
                </c:pt>
                <c:pt idx="13">
                  <c:v>0.37</c:v>
                </c:pt>
                <c:pt idx="14">
                  <c:v>0.4</c:v>
                </c:pt>
                <c:pt idx="15">
                  <c:v>0.38</c:v>
                </c:pt>
                <c:pt idx="16">
                  <c:v>0.35</c:v>
                </c:pt>
                <c:pt idx="17">
                  <c:v>0.37</c:v>
                </c:pt>
                <c:pt idx="18">
                  <c:v>0.37</c:v>
                </c:pt>
                <c:pt idx="19">
                  <c:v>0.45</c:v>
                </c:pt>
                <c:pt idx="20">
                  <c:v>0.38</c:v>
                </c:pt>
                <c:pt idx="21">
                  <c:v>0.38</c:v>
                </c:pt>
                <c:pt idx="22">
                  <c:v>0.39</c:v>
                </c:pt>
                <c:pt idx="23">
                  <c:v>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33-47E9-B58E-5D855BE2C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543583"/>
        <c:axId val="1207544063"/>
      </c:scatterChart>
      <c:valAx>
        <c:axId val="1207543583"/>
        <c:scaling>
          <c:orientation val="minMax"/>
          <c:max val="2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7544063"/>
        <c:crosses val="autoZero"/>
        <c:crossBetween val="midCat"/>
        <c:majorUnit val="1"/>
      </c:valAx>
      <c:valAx>
        <c:axId val="12075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754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53072</xdr:colOff>
      <xdr:row>4</xdr:row>
      <xdr:rowOff>59120</xdr:rowOff>
    </xdr:from>
    <xdr:to>
      <xdr:col>53</xdr:col>
      <xdr:colOff>134664</xdr:colOff>
      <xdr:row>19</xdr:row>
      <xdr:rowOff>135738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20CBF6D-0DFC-172E-4B8B-1DB98A629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26"/>
  <sheetViews>
    <sheetView tabSelected="1" topLeftCell="BE1" zoomScale="145" zoomScaleNormal="145" workbookViewId="0">
      <selection activeCell="BR1" sqref="BR1:BZ25"/>
    </sheetView>
  </sheetViews>
  <sheetFormatPr defaultRowHeight="13.9" x14ac:dyDescent="0.4"/>
  <cols>
    <col min="1" max="1" width="4.59765625" style="8" bestFit="1" customWidth="1"/>
    <col min="2" max="2" width="6" style="7" bestFit="1" customWidth="1"/>
    <col min="3" max="3" width="6" style="9" bestFit="1" customWidth="1"/>
    <col min="4" max="4" width="4.59765625" style="8" bestFit="1" customWidth="1"/>
    <col min="5" max="5" width="6" style="7" bestFit="1" customWidth="1"/>
    <col min="6" max="6" width="6" style="9" bestFit="1" customWidth="1"/>
    <col min="7" max="7" width="4.265625" style="8" bestFit="1" customWidth="1"/>
    <col min="8" max="8" width="6" style="7" bestFit="1" customWidth="1"/>
    <col min="9" max="9" width="6" style="9" bestFit="1" customWidth="1"/>
    <col min="10" max="10" width="4.6640625" style="8" bestFit="1" customWidth="1"/>
    <col min="11" max="11" width="6" style="7" bestFit="1" customWidth="1"/>
    <col min="12" max="12" width="6" style="9" bestFit="1" customWidth="1"/>
    <col min="13" max="13" width="4.6640625" style="8" bestFit="1" customWidth="1"/>
    <col min="14" max="14" width="6" style="7" bestFit="1" customWidth="1"/>
    <col min="15" max="15" width="6" style="9" bestFit="1" customWidth="1"/>
    <col min="16" max="16" width="4.6640625" style="8" bestFit="1" customWidth="1"/>
    <col min="17" max="17" width="6" style="7" bestFit="1" customWidth="1"/>
    <col min="18" max="18" width="6" style="9" bestFit="1" customWidth="1"/>
    <col min="19" max="19" width="4.6640625" style="8" bestFit="1" customWidth="1"/>
    <col min="20" max="20" width="6" style="7" bestFit="1" customWidth="1"/>
    <col min="21" max="21" width="6" style="9" bestFit="1" customWidth="1"/>
    <col min="22" max="22" width="6" style="8" bestFit="1" customWidth="1"/>
    <col min="23" max="23" width="5" style="8" bestFit="1" customWidth="1"/>
    <col min="24" max="24" width="6" style="8" customWidth="1"/>
    <col min="25" max="30" width="7.33203125" style="7" bestFit="1" customWidth="1"/>
    <col min="31" max="38" width="7.73046875" style="7" bestFit="1" customWidth="1"/>
    <col min="39" max="39" width="5.59765625" style="7" bestFit="1" customWidth="1"/>
    <col min="40" max="40" width="7.796875" style="7" customWidth="1"/>
    <col min="41" max="41" width="7.796875" style="7" bestFit="1" customWidth="1"/>
    <col min="42" max="42" width="10" style="7" bestFit="1" customWidth="1"/>
    <col min="43" max="43" width="5.59765625" style="7" bestFit="1" customWidth="1"/>
    <col min="44" max="44" width="5.59765625" style="8" bestFit="1" customWidth="1"/>
    <col min="45" max="45" width="5.59765625" style="7" bestFit="1" customWidth="1"/>
    <col min="46" max="54" width="9.06640625" style="7"/>
    <col min="55" max="55" width="3.59765625" style="7" bestFit="1" customWidth="1"/>
    <col min="56" max="56" width="4.59765625" style="7" bestFit="1" customWidth="1"/>
    <col min="57" max="57" width="6" style="7" bestFit="1" customWidth="1"/>
    <col min="58" max="58" width="4.59765625" style="7" bestFit="1" customWidth="1"/>
    <col min="59" max="59" width="6" style="7" bestFit="1" customWidth="1"/>
    <col min="60" max="60" width="4.59765625" style="7" bestFit="1" customWidth="1"/>
    <col min="61" max="61" width="6" style="7" bestFit="1" customWidth="1"/>
    <col min="62" max="62" width="5" style="7" bestFit="1" customWidth="1"/>
    <col min="63" max="63" width="6" style="7" bestFit="1" customWidth="1"/>
    <col min="64" max="64" width="5" style="7" bestFit="1" customWidth="1"/>
    <col min="65" max="65" width="6" style="7" bestFit="1" customWidth="1"/>
    <col min="66" max="66" width="5" style="7" bestFit="1" customWidth="1"/>
    <col min="67" max="67" width="6" style="7" bestFit="1" customWidth="1"/>
    <col min="68" max="68" width="5" style="7" bestFit="1" customWidth="1"/>
    <col min="69" max="69" width="6" style="7" bestFit="1" customWidth="1"/>
    <col min="70" max="70" width="3.59765625" style="7" bestFit="1" customWidth="1"/>
    <col min="71" max="77" width="6" style="9" bestFit="1" customWidth="1"/>
    <col min="78" max="78" width="6" style="8" bestFit="1" customWidth="1"/>
    <col min="79" max="16384" width="9.06640625" style="7"/>
  </cols>
  <sheetData>
    <row r="1" spans="1:78" s="4" customFormat="1" ht="15.75" x14ac:dyDescent="0.4">
      <c r="A1" s="18" t="s">
        <v>0</v>
      </c>
      <c r="B1" s="19" t="s">
        <v>1</v>
      </c>
      <c r="C1" s="20" t="s">
        <v>7</v>
      </c>
      <c r="D1" s="21" t="s">
        <v>2</v>
      </c>
      <c r="E1" s="19" t="s">
        <v>3</v>
      </c>
      <c r="F1" s="20" t="s">
        <v>8</v>
      </c>
      <c r="G1" s="21" t="s">
        <v>4</v>
      </c>
      <c r="H1" s="19" t="s">
        <v>5</v>
      </c>
      <c r="I1" s="20" t="s">
        <v>9</v>
      </c>
      <c r="J1" s="21" t="s">
        <v>6</v>
      </c>
      <c r="K1" s="19" t="s">
        <v>10</v>
      </c>
      <c r="L1" s="20" t="s">
        <v>17</v>
      </c>
      <c r="M1" s="21" t="s">
        <v>11</v>
      </c>
      <c r="N1" s="19" t="s">
        <v>12</v>
      </c>
      <c r="O1" s="20" t="s">
        <v>18</v>
      </c>
      <c r="P1" s="21" t="s">
        <v>13</v>
      </c>
      <c r="Q1" s="19" t="s">
        <v>14</v>
      </c>
      <c r="R1" s="20" t="s">
        <v>19</v>
      </c>
      <c r="S1" s="21" t="s">
        <v>15</v>
      </c>
      <c r="T1" s="19" t="s">
        <v>16</v>
      </c>
      <c r="U1" s="22" t="s">
        <v>20</v>
      </c>
      <c r="V1" s="1" t="s">
        <v>24</v>
      </c>
      <c r="W1" s="1" t="s">
        <v>28</v>
      </c>
      <c r="X1" s="1"/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/>
      <c r="AN1" s="3" t="s">
        <v>21</v>
      </c>
      <c r="AO1" s="3" t="s">
        <v>22</v>
      </c>
      <c r="AP1" s="3" t="s">
        <v>23</v>
      </c>
      <c r="AR1" s="5" t="s">
        <v>27</v>
      </c>
      <c r="AS1" s="3" t="s">
        <v>26</v>
      </c>
      <c r="AT1" s="2"/>
      <c r="AU1" s="2"/>
      <c r="AV1" s="2"/>
      <c r="BC1" s="18" t="s">
        <v>43</v>
      </c>
      <c r="BD1" s="18" t="s">
        <v>44</v>
      </c>
      <c r="BE1" s="19" t="s">
        <v>1</v>
      </c>
      <c r="BF1" s="21" t="s">
        <v>45</v>
      </c>
      <c r="BG1" s="19" t="s">
        <v>3</v>
      </c>
      <c r="BH1" s="21" t="s">
        <v>46</v>
      </c>
      <c r="BI1" s="19" t="s">
        <v>5</v>
      </c>
      <c r="BJ1" s="21" t="s">
        <v>47</v>
      </c>
      <c r="BK1" s="19" t="s">
        <v>10</v>
      </c>
      <c r="BL1" s="21" t="s">
        <v>48</v>
      </c>
      <c r="BM1" s="19" t="s">
        <v>12</v>
      </c>
      <c r="BN1" s="21" t="s">
        <v>49</v>
      </c>
      <c r="BO1" s="19" t="s">
        <v>14</v>
      </c>
      <c r="BP1" s="21" t="s">
        <v>50</v>
      </c>
      <c r="BQ1" s="23" t="s">
        <v>16</v>
      </c>
      <c r="BR1" s="18" t="s">
        <v>43</v>
      </c>
      <c r="BS1" s="24" t="s">
        <v>7</v>
      </c>
      <c r="BT1" s="20" t="s">
        <v>8</v>
      </c>
      <c r="BU1" s="20" t="s">
        <v>9</v>
      </c>
      <c r="BV1" s="20" t="s">
        <v>17</v>
      </c>
      <c r="BW1" s="20" t="s">
        <v>18</v>
      </c>
      <c r="BX1" s="20" t="s">
        <v>19</v>
      </c>
      <c r="BY1" s="22" t="s">
        <v>20</v>
      </c>
      <c r="BZ1" s="29" t="s">
        <v>51</v>
      </c>
    </row>
    <row r="2" spans="1:78" x14ac:dyDescent="0.4">
      <c r="A2" s="10">
        <v>110</v>
      </c>
      <c r="B2" s="11">
        <v>0.41</v>
      </c>
      <c r="C2" s="11">
        <v>0</v>
      </c>
      <c r="D2" s="12">
        <v>103</v>
      </c>
      <c r="E2" s="11">
        <v>0.38</v>
      </c>
      <c r="F2" s="11">
        <v>4.8543689320388328E-2</v>
      </c>
      <c r="G2" s="12">
        <v>60</v>
      </c>
      <c r="H2" s="11">
        <v>0.35</v>
      </c>
      <c r="I2" s="11">
        <v>1</v>
      </c>
      <c r="J2" s="12">
        <v>38</v>
      </c>
      <c r="K2" s="11">
        <v>0.36</v>
      </c>
      <c r="L2" s="11">
        <v>0</v>
      </c>
      <c r="M2" s="12">
        <v>40</v>
      </c>
      <c r="N2" s="11">
        <v>0.37</v>
      </c>
      <c r="O2" s="11">
        <v>0</v>
      </c>
      <c r="P2" s="12">
        <v>60</v>
      </c>
      <c r="Q2" s="11">
        <v>0.36</v>
      </c>
      <c r="R2" s="11">
        <v>0</v>
      </c>
      <c r="S2" s="12">
        <v>65</v>
      </c>
      <c r="T2" s="11">
        <v>0.4</v>
      </c>
      <c r="U2" s="13">
        <v>1</v>
      </c>
      <c r="V2" s="6">
        <v>3.1000000000000014</v>
      </c>
      <c r="W2" s="6">
        <v>0.38</v>
      </c>
      <c r="X2" s="6"/>
      <c r="Y2" s="6">
        <f t="shared" ref="Y2:Y25" si="0">A2*C2</f>
        <v>0</v>
      </c>
      <c r="Z2" s="6">
        <f t="shared" ref="Z2:Z25" si="1">Y2*B2</f>
        <v>0</v>
      </c>
      <c r="AA2" s="6">
        <f t="shared" ref="AA2:AA25" si="2">D2*F2</f>
        <v>4.9999999999999982</v>
      </c>
      <c r="AB2" s="6">
        <f t="shared" ref="AB2:AB25" si="3">AA2*E2</f>
        <v>1.8999999999999992</v>
      </c>
      <c r="AC2" s="6">
        <f t="shared" ref="AC2:AC25" si="4">G2*I2</f>
        <v>60</v>
      </c>
      <c r="AD2" s="6">
        <f t="shared" ref="AD2:AD25" si="5">AC2*H2</f>
        <v>21</v>
      </c>
      <c r="AE2" s="6">
        <f t="shared" ref="AE2:AE25" si="6">J2*L2</f>
        <v>0</v>
      </c>
      <c r="AF2" s="6">
        <f t="shared" ref="AF2:AF25" si="7">AE2*K2</f>
        <v>0</v>
      </c>
      <c r="AG2" s="6">
        <f t="shared" ref="AG2:AG25" si="8">M2*O2</f>
        <v>0</v>
      </c>
      <c r="AH2" s="6">
        <f t="shared" ref="AH2:AH25" si="9">AG2*N2</f>
        <v>0</v>
      </c>
      <c r="AI2" s="6">
        <f t="shared" ref="AI2:AI25" si="10">P2*R2</f>
        <v>0</v>
      </c>
      <c r="AJ2" s="6">
        <f t="shared" ref="AJ2:AJ25" si="11">AI2*Q2</f>
        <v>0</v>
      </c>
      <c r="AK2" s="6">
        <f t="shared" ref="AK2:AK25" si="12">S2*U2</f>
        <v>65</v>
      </c>
      <c r="AL2" s="6">
        <f t="shared" ref="AL2:AL25" si="13">AK2*T2</f>
        <v>26</v>
      </c>
      <c r="AM2" s="6"/>
      <c r="AN2" s="6">
        <f>Y2+AA2+AC2</f>
        <v>65</v>
      </c>
      <c r="AO2" s="6">
        <f>AE2+AG2+AI2+AK2</f>
        <v>65</v>
      </c>
      <c r="AP2" s="6">
        <f>AF2+AH2+AJ2+AL2-Z2-AB2-AD2</f>
        <v>3.1000000000000014</v>
      </c>
      <c r="AQ2" s="6"/>
      <c r="AR2" s="6">
        <v>0</v>
      </c>
      <c r="AS2" s="6">
        <f>W2</f>
        <v>0.38</v>
      </c>
      <c r="AT2" s="6"/>
      <c r="AU2" s="6"/>
      <c r="AV2" s="6"/>
      <c r="BC2" s="10">
        <v>0</v>
      </c>
      <c r="BD2" s="10">
        <v>110</v>
      </c>
      <c r="BE2" s="11">
        <v>0.41</v>
      </c>
      <c r="BF2" s="12">
        <v>103</v>
      </c>
      <c r="BG2" s="11">
        <v>0.38</v>
      </c>
      <c r="BH2" s="12">
        <v>60</v>
      </c>
      <c r="BI2" s="11">
        <v>0.35</v>
      </c>
      <c r="BJ2" s="12">
        <v>38</v>
      </c>
      <c r="BK2" s="11">
        <v>0.36</v>
      </c>
      <c r="BL2" s="12">
        <v>40</v>
      </c>
      <c r="BM2" s="11">
        <v>0.37</v>
      </c>
      <c r="BN2" s="12">
        <v>60</v>
      </c>
      <c r="BO2" s="11">
        <v>0.36</v>
      </c>
      <c r="BP2" s="12">
        <v>65</v>
      </c>
      <c r="BQ2" s="13">
        <v>0.4</v>
      </c>
      <c r="BR2" s="10">
        <v>0</v>
      </c>
      <c r="BS2" s="25">
        <v>0</v>
      </c>
      <c r="BT2" s="11">
        <v>4.8543689320388328E-2</v>
      </c>
      <c r="BU2" s="11">
        <v>1</v>
      </c>
      <c r="BV2" s="11">
        <v>0</v>
      </c>
      <c r="BW2" s="11">
        <v>0</v>
      </c>
      <c r="BX2" s="11">
        <v>0</v>
      </c>
      <c r="BY2" s="13">
        <v>1</v>
      </c>
      <c r="BZ2" s="27">
        <v>3.1000000000000014</v>
      </c>
    </row>
    <row r="3" spans="1:78" x14ac:dyDescent="0.4">
      <c r="A3" s="10">
        <v>120</v>
      </c>
      <c r="B3" s="11">
        <v>0.35</v>
      </c>
      <c r="C3" s="11">
        <v>1</v>
      </c>
      <c r="D3" s="12">
        <v>90</v>
      </c>
      <c r="E3" s="11">
        <v>0.38</v>
      </c>
      <c r="F3" s="11">
        <v>0</v>
      </c>
      <c r="G3" s="12">
        <v>74</v>
      </c>
      <c r="H3" s="11">
        <v>0.35</v>
      </c>
      <c r="I3" s="11">
        <v>1</v>
      </c>
      <c r="J3" s="12">
        <v>40</v>
      </c>
      <c r="K3" s="11">
        <v>0.41</v>
      </c>
      <c r="L3" s="11">
        <v>1</v>
      </c>
      <c r="M3" s="12">
        <v>45</v>
      </c>
      <c r="N3" s="11">
        <v>0.38</v>
      </c>
      <c r="O3" s="11">
        <v>0.73333333333333361</v>
      </c>
      <c r="P3" s="12">
        <v>60</v>
      </c>
      <c r="Q3" s="11">
        <v>0.39</v>
      </c>
      <c r="R3" s="11">
        <v>1</v>
      </c>
      <c r="S3" s="12">
        <v>61</v>
      </c>
      <c r="T3" s="11">
        <v>0.48</v>
      </c>
      <c r="U3" s="13">
        <v>1</v>
      </c>
      <c r="V3" s="6">
        <v>13.719999999999999</v>
      </c>
      <c r="W3" s="6">
        <v>0.38</v>
      </c>
      <c r="X3" s="6"/>
      <c r="Y3" s="6">
        <f t="shared" si="0"/>
        <v>120</v>
      </c>
      <c r="Z3" s="6">
        <f t="shared" si="1"/>
        <v>42</v>
      </c>
      <c r="AA3" s="6">
        <f t="shared" si="2"/>
        <v>0</v>
      </c>
      <c r="AB3" s="6">
        <f t="shared" si="3"/>
        <v>0</v>
      </c>
      <c r="AC3" s="6">
        <f t="shared" si="4"/>
        <v>74</v>
      </c>
      <c r="AD3" s="6">
        <f t="shared" si="5"/>
        <v>25.9</v>
      </c>
      <c r="AE3" s="6">
        <f t="shared" si="6"/>
        <v>40</v>
      </c>
      <c r="AF3" s="6">
        <f t="shared" si="7"/>
        <v>16.399999999999999</v>
      </c>
      <c r="AG3" s="6">
        <f t="shared" si="8"/>
        <v>33.000000000000014</v>
      </c>
      <c r="AH3" s="6">
        <f t="shared" si="9"/>
        <v>12.540000000000006</v>
      </c>
      <c r="AI3" s="6">
        <f t="shared" si="10"/>
        <v>60</v>
      </c>
      <c r="AJ3" s="6">
        <f t="shared" si="11"/>
        <v>23.400000000000002</v>
      </c>
      <c r="AK3" s="6">
        <f t="shared" si="12"/>
        <v>61</v>
      </c>
      <c r="AL3" s="6">
        <f t="shared" si="13"/>
        <v>29.279999999999998</v>
      </c>
      <c r="AM3" s="6"/>
      <c r="AN3" s="6">
        <f t="shared" ref="AN3:AN25" si="14">Y3+AA3+AC3</f>
        <v>194</v>
      </c>
      <c r="AO3" s="6">
        <f t="shared" ref="AO3:AO25" si="15">AE3+AG3+AI3+AK3</f>
        <v>194</v>
      </c>
      <c r="AP3" s="6">
        <f t="shared" ref="AP3:AP25" si="16">AF3+AH3+AJ3+AL3-Z3-AB3-AD3</f>
        <v>13.720000000000006</v>
      </c>
      <c r="AQ3" s="6"/>
      <c r="AR3" s="6">
        <f>AR2+1</f>
        <v>1</v>
      </c>
      <c r="AS3" s="6">
        <f t="shared" ref="AS3:AS25" si="17">W3</f>
        <v>0.38</v>
      </c>
      <c r="AT3" s="6"/>
      <c r="AU3" s="6"/>
      <c r="AV3" s="6"/>
      <c r="BC3" s="10">
        <f>BC2+1</f>
        <v>1</v>
      </c>
      <c r="BD3" s="10">
        <v>120</v>
      </c>
      <c r="BE3" s="11">
        <v>0.35</v>
      </c>
      <c r="BF3" s="12">
        <v>90</v>
      </c>
      <c r="BG3" s="11">
        <v>0.38</v>
      </c>
      <c r="BH3" s="12">
        <v>74</v>
      </c>
      <c r="BI3" s="11">
        <v>0.35</v>
      </c>
      <c r="BJ3" s="12">
        <v>40</v>
      </c>
      <c r="BK3" s="11">
        <v>0.41</v>
      </c>
      <c r="BL3" s="12">
        <v>45</v>
      </c>
      <c r="BM3" s="11">
        <v>0.38</v>
      </c>
      <c r="BN3" s="12">
        <v>60</v>
      </c>
      <c r="BO3" s="11">
        <v>0.39</v>
      </c>
      <c r="BP3" s="12">
        <v>61</v>
      </c>
      <c r="BQ3" s="13">
        <v>0.48</v>
      </c>
      <c r="BR3" s="10">
        <f>BR2+1</f>
        <v>1</v>
      </c>
      <c r="BS3" s="25">
        <v>1</v>
      </c>
      <c r="BT3" s="11">
        <v>0</v>
      </c>
      <c r="BU3" s="11">
        <v>1</v>
      </c>
      <c r="BV3" s="11">
        <v>1</v>
      </c>
      <c r="BW3" s="11">
        <v>0.73333333333333361</v>
      </c>
      <c r="BX3" s="11">
        <v>1</v>
      </c>
      <c r="BY3" s="13">
        <v>1</v>
      </c>
      <c r="BZ3" s="27">
        <v>13.719999999999999</v>
      </c>
    </row>
    <row r="4" spans="1:78" x14ac:dyDescent="0.4">
      <c r="A4" s="10">
        <v>115</v>
      </c>
      <c r="B4" s="11">
        <v>0.36</v>
      </c>
      <c r="C4" s="11">
        <v>1</v>
      </c>
      <c r="D4" s="12">
        <v>85</v>
      </c>
      <c r="E4" s="11">
        <v>0.44</v>
      </c>
      <c r="F4" s="11">
        <v>0</v>
      </c>
      <c r="G4" s="12">
        <v>60</v>
      </c>
      <c r="H4" s="11">
        <v>0.38</v>
      </c>
      <c r="I4" s="11">
        <v>0</v>
      </c>
      <c r="J4" s="12">
        <v>34</v>
      </c>
      <c r="K4" s="11">
        <v>0.42</v>
      </c>
      <c r="L4" s="11">
        <v>1</v>
      </c>
      <c r="M4" s="12">
        <v>40</v>
      </c>
      <c r="N4" s="11">
        <v>0.38</v>
      </c>
      <c r="O4" s="11">
        <v>0.14999999999999991</v>
      </c>
      <c r="P4" s="12">
        <v>60</v>
      </c>
      <c r="Q4" s="11">
        <v>0.36</v>
      </c>
      <c r="R4" s="11">
        <v>0</v>
      </c>
      <c r="S4" s="12">
        <v>75</v>
      </c>
      <c r="T4" s="11">
        <v>0.41</v>
      </c>
      <c r="U4" s="13">
        <v>1</v>
      </c>
      <c r="V4" s="6">
        <v>5.9099999999999966</v>
      </c>
      <c r="W4" s="6">
        <v>0.38</v>
      </c>
      <c r="X4" s="6"/>
      <c r="Y4" s="6">
        <f t="shared" si="0"/>
        <v>115</v>
      </c>
      <c r="Z4" s="6">
        <f t="shared" si="1"/>
        <v>41.4</v>
      </c>
      <c r="AA4" s="6">
        <f t="shared" si="2"/>
        <v>0</v>
      </c>
      <c r="AB4" s="6">
        <f t="shared" si="3"/>
        <v>0</v>
      </c>
      <c r="AC4" s="6">
        <f t="shared" si="4"/>
        <v>0</v>
      </c>
      <c r="AD4" s="6">
        <f t="shared" si="5"/>
        <v>0</v>
      </c>
      <c r="AE4" s="6">
        <f t="shared" si="6"/>
        <v>34</v>
      </c>
      <c r="AF4" s="6">
        <f t="shared" si="7"/>
        <v>14.28</v>
      </c>
      <c r="AG4" s="6">
        <f t="shared" si="8"/>
        <v>5.9999999999999964</v>
      </c>
      <c r="AH4" s="6">
        <f t="shared" si="9"/>
        <v>2.2799999999999985</v>
      </c>
      <c r="AI4" s="6">
        <f t="shared" si="10"/>
        <v>0</v>
      </c>
      <c r="AJ4" s="6">
        <f t="shared" si="11"/>
        <v>0</v>
      </c>
      <c r="AK4" s="6">
        <f t="shared" si="12"/>
        <v>75</v>
      </c>
      <c r="AL4" s="6">
        <f t="shared" si="13"/>
        <v>30.749999999999996</v>
      </c>
      <c r="AM4" s="6"/>
      <c r="AN4" s="6">
        <f t="shared" si="14"/>
        <v>115</v>
      </c>
      <c r="AO4" s="6">
        <f t="shared" si="15"/>
        <v>115</v>
      </c>
      <c r="AP4" s="6">
        <f t="shared" si="16"/>
        <v>5.9099999999999966</v>
      </c>
      <c r="AQ4" s="6"/>
      <c r="AR4" s="6">
        <f t="shared" ref="AR4:AR25" si="18">AR3+1</f>
        <v>2</v>
      </c>
      <c r="AS4" s="6">
        <f t="shared" si="17"/>
        <v>0.38</v>
      </c>
      <c r="AT4" s="6"/>
      <c r="AU4" s="6"/>
      <c r="AV4" s="6"/>
      <c r="BC4" s="10">
        <f t="shared" ref="BC4:BC25" si="19">BC3+1</f>
        <v>2</v>
      </c>
      <c r="BD4" s="10">
        <v>115</v>
      </c>
      <c r="BE4" s="11">
        <v>0.36</v>
      </c>
      <c r="BF4" s="12">
        <v>85</v>
      </c>
      <c r="BG4" s="11">
        <v>0.44</v>
      </c>
      <c r="BH4" s="12">
        <v>60</v>
      </c>
      <c r="BI4" s="11">
        <v>0.38</v>
      </c>
      <c r="BJ4" s="12">
        <v>34</v>
      </c>
      <c r="BK4" s="11">
        <v>0.42</v>
      </c>
      <c r="BL4" s="12">
        <v>40</v>
      </c>
      <c r="BM4" s="11">
        <v>0.38</v>
      </c>
      <c r="BN4" s="12">
        <v>60</v>
      </c>
      <c r="BO4" s="11">
        <v>0.36</v>
      </c>
      <c r="BP4" s="12">
        <v>75</v>
      </c>
      <c r="BQ4" s="13">
        <v>0.41</v>
      </c>
      <c r="BR4" s="10">
        <f t="shared" ref="BR4:BR25" si="20">BR3+1</f>
        <v>2</v>
      </c>
      <c r="BS4" s="25">
        <v>1</v>
      </c>
      <c r="BT4" s="11">
        <v>0</v>
      </c>
      <c r="BU4" s="11">
        <v>0</v>
      </c>
      <c r="BV4" s="11">
        <v>1</v>
      </c>
      <c r="BW4" s="11">
        <v>0.14999999999999991</v>
      </c>
      <c r="BX4" s="11">
        <v>0</v>
      </c>
      <c r="BY4" s="13">
        <v>1</v>
      </c>
      <c r="BZ4" s="27">
        <v>5.9099999999999966</v>
      </c>
    </row>
    <row r="5" spans="1:78" x14ac:dyDescent="0.4">
      <c r="A5" s="10">
        <v>110</v>
      </c>
      <c r="B5" s="11">
        <v>0.37</v>
      </c>
      <c r="C5" s="11">
        <v>1</v>
      </c>
      <c r="D5" s="12">
        <v>78</v>
      </c>
      <c r="E5" s="11">
        <v>0.36</v>
      </c>
      <c r="F5" s="11">
        <v>1</v>
      </c>
      <c r="G5" s="12">
        <v>60</v>
      </c>
      <c r="H5" s="11">
        <v>0.38</v>
      </c>
      <c r="I5" s="11">
        <v>0.19999999999999996</v>
      </c>
      <c r="J5" s="12">
        <v>35</v>
      </c>
      <c r="K5" s="11">
        <v>0.45</v>
      </c>
      <c r="L5" s="11">
        <v>1</v>
      </c>
      <c r="M5" s="12">
        <v>40</v>
      </c>
      <c r="N5" s="11">
        <v>0.41</v>
      </c>
      <c r="O5" s="11">
        <v>1</v>
      </c>
      <c r="P5" s="12">
        <v>60</v>
      </c>
      <c r="Q5" s="11">
        <v>0.4</v>
      </c>
      <c r="R5" s="11">
        <v>1</v>
      </c>
      <c r="S5" s="12">
        <v>65</v>
      </c>
      <c r="T5" s="11">
        <v>0.39</v>
      </c>
      <c r="U5" s="13">
        <v>1</v>
      </c>
      <c r="V5" s="6">
        <v>8.1599999999999966</v>
      </c>
      <c r="W5" s="6">
        <v>0.38</v>
      </c>
      <c r="X5" s="6"/>
      <c r="Y5" s="6">
        <f t="shared" si="0"/>
        <v>110</v>
      </c>
      <c r="Z5" s="6">
        <f t="shared" si="1"/>
        <v>40.700000000000003</v>
      </c>
      <c r="AA5" s="6">
        <f t="shared" si="2"/>
        <v>78</v>
      </c>
      <c r="AB5" s="6">
        <f t="shared" si="3"/>
        <v>28.08</v>
      </c>
      <c r="AC5" s="6">
        <f t="shared" si="4"/>
        <v>11.999999999999996</v>
      </c>
      <c r="AD5" s="6">
        <f t="shared" si="5"/>
        <v>4.5599999999999987</v>
      </c>
      <c r="AE5" s="6">
        <f t="shared" si="6"/>
        <v>35</v>
      </c>
      <c r="AF5" s="6">
        <f t="shared" si="7"/>
        <v>15.75</v>
      </c>
      <c r="AG5" s="6">
        <f t="shared" si="8"/>
        <v>40</v>
      </c>
      <c r="AH5" s="6">
        <f t="shared" si="9"/>
        <v>16.399999999999999</v>
      </c>
      <c r="AI5" s="6">
        <f t="shared" si="10"/>
        <v>60</v>
      </c>
      <c r="AJ5" s="6">
        <f t="shared" si="11"/>
        <v>24</v>
      </c>
      <c r="AK5" s="6">
        <f t="shared" si="12"/>
        <v>65</v>
      </c>
      <c r="AL5" s="6">
        <f t="shared" si="13"/>
        <v>25.35</v>
      </c>
      <c r="AM5" s="6"/>
      <c r="AN5" s="6">
        <f t="shared" si="14"/>
        <v>200</v>
      </c>
      <c r="AO5" s="6">
        <f t="shared" si="15"/>
        <v>200</v>
      </c>
      <c r="AP5" s="6">
        <f t="shared" si="16"/>
        <v>8.16</v>
      </c>
      <c r="AQ5" s="6"/>
      <c r="AR5" s="6">
        <f t="shared" si="18"/>
        <v>3</v>
      </c>
      <c r="AS5" s="6">
        <f t="shared" si="17"/>
        <v>0.38</v>
      </c>
      <c r="AT5" s="6"/>
      <c r="AU5" s="6"/>
      <c r="AV5" s="6"/>
      <c r="BC5" s="10">
        <f t="shared" si="19"/>
        <v>3</v>
      </c>
      <c r="BD5" s="10">
        <v>110</v>
      </c>
      <c r="BE5" s="11">
        <v>0.37</v>
      </c>
      <c r="BF5" s="12">
        <v>78</v>
      </c>
      <c r="BG5" s="11">
        <v>0.36</v>
      </c>
      <c r="BH5" s="12">
        <v>60</v>
      </c>
      <c r="BI5" s="11">
        <v>0.38</v>
      </c>
      <c r="BJ5" s="12">
        <v>35</v>
      </c>
      <c r="BK5" s="11">
        <v>0.45</v>
      </c>
      <c r="BL5" s="12">
        <v>40</v>
      </c>
      <c r="BM5" s="11">
        <v>0.41</v>
      </c>
      <c r="BN5" s="12">
        <v>60</v>
      </c>
      <c r="BO5" s="11">
        <v>0.4</v>
      </c>
      <c r="BP5" s="12">
        <v>65</v>
      </c>
      <c r="BQ5" s="13">
        <v>0.39</v>
      </c>
      <c r="BR5" s="10">
        <f t="shared" si="20"/>
        <v>3</v>
      </c>
      <c r="BS5" s="25">
        <v>1</v>
      </c>
      <c r="BT5" s="11">
        <v>1</v>
      </c>
      <c r="BU5" s="11">
        <v>0.19999999999999996</v>
      </c>
      <c r="BV5" s="11">
        <v>1</v>
      </c>
      <c r="BW5" s="11">
        <v>1</v>
      </c>
      <c r="BX5" s="11">
        <v>1</v>
      </c>
      <c r="BY5" s="13">
        <v>1</v>
      </c>
      <c r="BZ5" s="27">
        <v>8.1599999999999966</v>
      </c>
    </row>
    <row r="6" spans="1:78" x14ac:dyDescent="0.4">
      <c r="A6" s="10">
        <v>57</v>
      </c>
      <c r="B6" s="11">
        <v>0.35</v>
      </c>
      <c r="C6" s="11">
        <v>1</v>
      </c>
      <c r="D6" s="12">
        <v>90</v>
      </c>
      <c r="E6" s="11">
        <v>0.39</v>
      </c>
      <c r="F6" s="11">
        <v>0.14444444444444449</v>
      </c>
      <c r="G6" s="12">
        <v>60</v>
      </c>
      <c r="H6" s="11">
        <v>0.39</v>
      </c>
      <c r="I6" s="11">
        <v>0</v>
      </c>
      <c r="J6" s="12">
        <v>80</v>
      </c>
      <c r="K6" s="11">
        <v>0.39</v>
      </c>
      <c r="L6" s="11">
        <v>0</v>
      </c>
      <c r="M6" s="12">
        <v>75</v>
      </c>
      <c r="N6" s="11">
        <v>0.36</v>
      </c>
      <c r="O6" s="11">
        <v>0</v>
      </c>
      <c r="P6" s="12">
        <v>70</v>
      </c>
      <c r="Q6" s="11">
        <v>0.38</v>
      </c>
      <c r="R6" s="11">
        <v>0</v>
      </c>
      <c r="S6" s="12">
        <v>70</v>
      </c>
      <c r="T6" s="11">
        <v>0.42</v>
      </c>
      <c r="U6" s="13">
        <v>1</v>
      </c>
      <c r="V6" s="6">
        <v>4.3799999999999955</v>
      </c>
      <c r="W6" s="6">
        <v>0.39</v>
      </c>
      <c r="X6" s="6"/>
      <c r="Y6" s="6">
        <f t="shared" si="0"/>
        <v>57</v>
      </c>
      <c r="Z6" s="6">
        <f t="shared" si="1"/>
        <v>19.95</v>
      </c>
      <c r="AA6" s="6">
        <f t="shared" si="2"/>
        <v>13.000000000000004</v>
      </c>
      <c r="AB6" s="6">
        <f t="shared" si="3"/>
        <v>5.0700000000000012</v>
      </c>
      <c r="AC6" s="6">
        <f t="shared" si="4"/>
        <v>0</v>
      </c>
      <c r="AD6" s="6">
        <f t="shared" si="5"/>
        <v>0</v>
      </c>
      <c r="AE6" s="6">
        <f t="shared" si="6"/>
        <v>0</v>
      </c>
      <c r="AF6" s="6">
        <f t="shared" si="7"/>
        <v>0</v>
      </c>
      <c r="AG6" s="6">
        <f t="shared" si="8"/>
        <v>0</v>
      </c>
      <c r="AH6" s="6">
        <f t="shared" si="9"/>
        <v>0</v>
      </c>
      <c r="AI6" s="6">
        <f t="shared" si="10"/>
        <v>0</v>
      </c>
      <c r="AJ6" s="6">
        <f t="shared" si="11"/>
        <v>0</v>
      </c>
      <c r="AK6" s="6">
        <f t="shared" si="12"/>
        <v>70</v>
      </c>
      <c r="AL6" s="6">
        <f t="shared" si="13"/>
        <v>29.4</v>
      </c>
      <c r="AM6" s="6"/>
      <c r="AN6" s="6">
        <f t="shared" si="14"/>
        <v>70</v>
      </c>
      <c r="AO6" s="6">
        <f t="shared" si="15"/>
        <v>70</v>
      </c>
      <c r="AP6" s="6">
        <f t="shared" si="16"/>
        <v>4.3799999999999981</v>
      </c>
      <c r="AQ6" s="6"/>
      <c r="AR6" s="6">
        <f t="shared" si="18"/>
        <v>4</v>
      </c>
      <c r="AS6" s="6">
        <f t="shared" si="17"/>
        <v>0.39</v>
      </c>
      <c r="AT6" s="6"/>
      <c r="AU6" s="6"/>
      <c r="AV6" s="6"/>
      <c r="BC6" s="10">
        <f t="shared" si="19"/>
        <v>4</v>
      </c>
      <c r="BD6" s="10">
        <v>57</v>
      </c>
      <c r="BE6" s="11">
        <v>0.35</v>
      </c>
      <c r="BF6" s="12">
        <v>90</v>
      </c>
      <c r="BG6" s="11">
        <v>0.39</v>
      </c>
      <c r="BH6" s="12">
        <v>60</v>
      </c>
      <c r="BI6" s="11">
        <v>0.39</v>
      </c>
      <c r="BJ6" s="12">
        <v>80</v>
      </c>
      <c r="BK6" s="11">
        <v>0.39</v>
      </c>
      <c r="BL6" s="12">
        <v>75</v>
      </c>
      <c r="BM6" s="11">
        <v>0.36</v>
      </c>
      <c r="BN6" s="12">
        <v>70</v>
      </c>
      <c r="BO6" s="11">
        <v>0.38</v>
      </c>
      <c r="BP6" s="12">
        <v>70</v>
      </c>
      <c r="BQ6" s="13">
        <v>0.42</v>
      </c>
      <c r="BR6" s="10">
        <f t="shared" si="20"/>
        <v>4</v>
      </c>
      <c r="BS6" s="25">
        <v>1</v>
      </c>
      <c r="BT6" s="11">
        <v>0.14444444444444449</v>
      </c>
      <c r="BU6" s="11">
        <v>0</v>
      </c>
      <c r="BV6" s="11">
        <v>0</v>
      </c>
      <c r="BW6" s="11">
        <v>0</v>
      </c>
      <c r="BX6" s="11">
        <v>0</v>
      </c>
      <c r="BY6" s="13">
        <v>1</v>
      </c>
      <c r="BZ6" s="27">
        <v>4.3799999999999955</v>
      </c>
    </row>
    <row r="7" spans="1:78" x14ac:dyDescent="0.4">
      <c r="A7" s="10">
        <v>80</v>
      </c>
      <c r="B7" s="11">
        <v>0.36</v>
      </c>
      <c r="C7" s="11">
        <v>1</v>
      </c>
      <c r="D7" s="12">
        <v>80</v>
      </c>
      <c r="E7" s="11">
        <v>0.38</v>
      </c>
      <c r="F7" s="11">
        <v>1</v>
      </c>
      <c r="G7" s="12">
        <v>37</v>
      </c>
      <c r="H7" s="11">
        <v>0.47</v>
      </c>
      <c r="I7" s="11">
        <v>0</v>
      </c>
      <c r="J7" s="12">
        <v>40</v>
      </c>
      <c r="K7" s="11">
        <v>0.36</v>
      </c>
      <c r="L7" s="11">
        <v>0</v>
      </c>
      <c r="M7" s="12">
        <v>55</v>
      </c>
      <c r="N7" s="11">
        <v>0.39</v>
      </c>
      <c r="O7" s="11">
        <v>0</v>
      </c>
      <c r="P7" s="12">
        <v>80</v>
      </c>
      <c r="Q7" s="11">
        <v>0.44</v>
      </c>
      <c r="R7" s="11">
        <v>0.875</v>
      </c>
      <c r="S7" s="12">
        <v>90</v>
      </c>
      <c r="T7" s="11">
        <v>0.46</v>
      </c>
      <c r="U7" s="13">
        <v>1</v>
      </c>
      <c r="V7" s="6">
        <v>13.000000000000007</v>
      </c>
      <c r="W7" s="6">
        <v>0.44</v>
      </c>
      <c r="X7" s="6"/>
      <c r="Y7" s="6">
        <f t="shared" si="0"/>
        <v>80</v>
      </c>
      <c r="Z7" s="6">
        <f t="shared" si="1"/>
        <v>28.799999999999997</v>
      </c>
      <c r="AA7" s="6">
        <f t="shared" si="2"/>
        <v>80</v>
      </c>
      <c r="AB7" s="6">
        <f t="shared" si="3"/>
        <v>30.4</v>
      </c>
      <c r="AC7" s="6">
        <f t="shared" si="4"/>
        <v>0</v>
      </c>
      <c r="AD7" s="6">
        <f t="shared" si="5"/>
        <v>0</v>
      </c>
      <c r="AE7" s="6">
        <f t="shared" si="6"/>
        <v>0</v>
      </c>
      <c r="AF7" s="6">
        <f t="shared" si="7"/>
        <v>0</v>
      </c>
      <c r="AG7" s="6">
        <f t="shared" si="8"/>
        <v>0</v>
      </c>
      <c r="AH7" s="6">
        <f t="shared" si="9"/>
        <v>0</v>
      </c>
      <c r="AI7" s="6">
        <f t="shared" si="10"/>
        <v>70</v>
      </c>
      <c r="AJ7" s="6">
        <f t="shared" si="11"/>
        <v>30.8</v>
      </c>
      <c r="AK7" s="6">
        <f t="shared" si="12"/>
        <v>90</v>
      </c>
      <c r="AL7" s="6">
        <f t="shared" si="13"/>
        <v>41.4</v>
      </c>
      <c r="AM7" s="6"/>
      <c r="AN7" s="6">
        <f t="shared" si="14"/>
        <v>160</v>
      </c>
      <c r="AO7" s="6">
        <f t="shared" si="15"/>
        <v>160</v>
      </c>
      <c r="AP7" s="6">
        <f t="shared" si="16"/>
        <v>13.000000000000007</v>
      </c>
      <c r="AQ7" s="6"/>
      <c r="AR7" s="6">
        <f t="shared" si="18"/>
        <v>5</v>
      </c>
      <c r="AS7" s="6">
        <f t="shared" si="17"/>
        <v>0.44</v>
      </c>
      <c r="AT7" s="6"/>
      <c r="AU7" s="6"/>
      <c r="AV7" s="6"/>
      <c r="BC7" s="10">
        <f t="shared" si="19"/>
        <v>5</v>
      </c>
      <c r="BD7" s="10">
        <v>80</v>
      </c>
      <c r="BE7" s="11">
        <v>0.36</v>
      </c>
      <c r="BF7" s="12">
        <v>80</v>
      </c>
      <c r="BG7" s="11">
        <v>0.38</v>
      </c>
      <c r="BH7" s="12">
        <v>37</v>
      </c>
      <c r="BI7" s="11">
        <v>0.47</v>
      </c>
      <c r="BJ7" s="12">
        <v>40</v>
      </c>
      <c r="BK7" s="11">
        <v>0.36</v>
      </c>
      <c r="BL7" s="12">
        <v>55</v>
      </c>
      <c r="BM7" s="11">
        <v>0.39</v>
      </c>
      <c r="BN7" s="12">
        <v>80</v>
      </c>
      <c r="BO7" s="11">
        <v>0.44</v>
      </c>
      <c r="BP7" s="12">
        <v>90</v>
      </c>
      <c r="BQ7" s="13">
        <v>0.46</v>
      </c>
      <c r="BR7" s="10">
        <f t="shared" si="20"/>
        <v>5</v>
      </c>
      <c r="BS7" s="25">
        <v>1</v>
      </c>
      <c r="BT7" s="11">
        <v>1</v>
      </c>
      <c r="BU7" s="11">
        <v>0</v>
      </c>
      <c r="BV7" s="11">
        <v>0</v>
      </c>
      <c r="BW7" s="11">
        <v>0</v>
      </c>
      <c r="BX7" s="11">
        <v>0.875</v>
      </c>
      <c r="BY7" s="13">
        <v>1</v>
      </c>
      <c r="BZ7" s="27">
        <v>13.000000000000007</v>
      </c>
    </row>
    <row r="8" spans="1:78" x14ac:dyDescent="0.4">
      <c r="A8" s="10">
        <v>100</v>
      </c>
      <c r="B8" s="11">
        <v>0.4</v>
      </c>
      <c r="C8" s="11">
        <v>0.45</v>
      </c>
      <c r="D8" s="12">
        <v>70</v>
      </c>
      <c r="E8" s="11">
        <v>0.35</v>
      </c>
      <c r="F8" s="11">
        <v>1</v>
      </c>
      <c r="G8" s="12">
        <v>35</v>
      </c>
      <c r="H8" s="11">
        <v>0.48</v>
      </c>
      <c r="I8" s="11">
        <v>0</v>
      </c>
      <c r="J8" s="12">
        <v>35</v>
      </c>
      <c r="K8" s="11">
        <v>0.53</v>
      </c>
      <c r="L8" s="11">
        <v>1</v>
      </c>
      <c r="M8" s="12">
        <v>41</v>
      </c>
      <c r="N8" s="11">
        <v>0.37</v>
      </c>
      <c r="O8" s="11">
        <v>0</v>
      </c>
      <c r="P8" s="12">
        <v>60</v>
      </c>
      <c r="Q8" s="11">
        <v>0.38</v>
      </c>
      <c r="R8" s="11">
        <v>0</v>
      </c>
      <c r="S8" s="12">
        <v>80</v>
      </c>
      <c r="T8" s="11">
        <v>0.46</v>
      </c>
      <c r="U8" s="13">
        <v>1</v>
      </c>
      <c r="V8" s="6">
        <v>12.850000000000005</v>
      </c>
      <c r="W8" s="6">
        <v>0.4</v>
      </c>
      <c r="X8" s="6"/>
      <c r="Y8" s="6">
        <f t="shared" si="0"/>
        <v>45</v>
      </c>
      <c r="Z8" s="6">
        <f t="shared" si="1"/>
        <v>18</v>
      </c>
      <c r="AA8" s="6">
        <f t="shared" si="2"/>
        <v>70</v>
      </c>
      <c r="AB8" s="6">
        <f t="shared" si="3"/>
        <v>24.5</v>
      </c>
      <c r="AC8" s="6">
        <f t="shared" si="4"/>
        <v>0</v>
      </c>
      <c r="AD8" s="6">
        <f t="shared" si="5"/>
        <v>0</v>
      </c>
      <c r="AE8" s="6">
        <f t="shared" si="6"/>
        <v>35</v>
      </c>
      <c r="AF8" s="6">
        <f t="shared" si="7"/>
        <v>18.55</v>
      </c>
      <c r="AG8" s="6">
        <f t="shared" si="8"/>
        <v>0</v>
      </c>
      <c r="AH8" s="6">
        <f t="shared" si="9"/>
        <v>0</v>
      </c>
      <c r="AI8" s="6">
        <f t="shared" si="10"/>
        <v>0</v>
      </c>
      <c r="AJ8" s="6">
        <f t="shared" si="11"/>
        <v>0</v>
      </c>
      <c r="AK8" s="6">
        <f t="shared" si="12"/>
        <v>80</v>
      </c>
      <c r="AL8" s="6">
        <f t="shared" si="13"/>
        <v>36.800000000000004</v>
      </c>
      <c r="AM8" s="6"/>
      <c r="AN8" s="6">
        <f t="shared" si="14"/>
        <v>115</v>
      </c>
      <c r="AO8" s="6">
        <f t="shared" si="15"/>
        <v>115</v>
      </c>
      <c r="AP8" s="6">
        <f t="shared" si="16"/>
        <v>12.850000000000009</v>
      </c>
      <c r="AQ8" s="6"/>
      <c r="AR8" s="6">
        <f t="shared" si="18"/>
        <v>6</v>
      </c>
      <c r="AS8" s="6">
        <f t="shared" si="17"/>
        <v>0.4</v>
      </c>
      <c r="AT8" s="6"/>
      <c r="AU8" s="6"/>
      <c r="AV8" s="6"/>
      <c r="BC8" s="10">
        <f t="shared" si="19"/>
        <v>6</v>
      </c>
      <c r="BD8" s="10">
        <v>100</v>
      </c>
      <c r="BE8" s="11">
        <v>0.4</v>
      </c>
      <c r="BF8" s="12">
        <v>70</v>
      </c>
      <c r="BG8" s="11">
        <v>0.35</v>
      </c>
      <c r="BH8" s="12">
        <v>35</v>
      </c>
      <c r="BI8" s="11">
        <v>0.48</v>
      </c>
      <c r="BJ8" s="12">
        <v>35</v>
      </c>
      <c r="BK8" s="11">
        <v>0.53</v>
      </c>
      <c r="BL8" s="12">
        <v>41</v>
      </c>
      <c r="BM8" s="11">
        <v>0.37</v>
      </c>
      <c r="BN8" s="12">
        <v>60</v>
      </c>
      <c r="BO8" s="11">
        <v>0.38</v>
      </c>
      <c r="BP8" s="12">
        <v>80</v>
      </c>
      <c r="BQ8" s="13">
        <v>0.46</v>
      </c>
      <c r="BR8" s="10">
        <f t="shared" si="20"/>
        <v>6</v>
      </c>
      <c r="BS8" s="25">
        <v>0.45</v>
      </c>
      <c r="BT8" s="11">
        <v>1</v>
      </c>
      <c r="BU8" s="11">
        <v>0</v>
      </c>
      <c r="BV8" s="11">
        <v>1</v>
      </c>
      <c r="BW8" s="11">
        <v>0</v>
      </c>
      <c r="BX8" s="11">
        <v>0</v>
      </c>
      <c r="BY8" s="13">
        <v>1</v>
      </c>
      <c r="BZ8" s="27">
        <v>12.850000000000005</v>
      </c>
    </row>
    <row r="9" spans="1:78" x14ac:dyDescent="0.4">
      <c r="A9" s="10">
        <v>90</v>
      </c>
      <c r="B9" s="11">
        <v>0.4</v>
      </c>
      <c r="C9" s="11">
        <v>0</v>
      </c>
      <c r="D9" s="12">
        <v>90</v>
      </c>
      <c r="E9" s="11">
        <v>0.36</v>
      </c>
      <c r="F9" s="11">
        <v>1</v>
      </c>
      <c r="G9" s="12">
        <v>65</v>
      </c>
      <c r="H9" s="11">
        <v>0.37</v>
      </c>
      <c r="I9" s="11">
        <v>1</v>
      </c>
      <c r="J9" s="12">
        <v>32</v>
      </c>
      <c r="K9" s="11">
        <v>0.46</v>
      </c>
      <c r="L9" s="11">
        <v>1</v>
      </c>
      <c r="M9" s="12">
        <v>55</v>
      </c>
      <c r="N9" s="11">
        <v>0.38</v>
      </c>
      <c r="O9" s="11">
        <v>0</v>
      </c>
      <c r="P9" s="12">
        <v>70</v>
      </c>
      <c r="Q9" s="11">
        <v>0.4</v>
      </c>
      <c r="R9" s="11">
        <v>0.3285714285714284</v>
      </c>
      <c r="S9" s="12">
        <v>100</v>
      </c>
      <c r="T9" s="11">
        <v>0.46</v>
      </c>
      <c r="U9" s="13">
        <v>1</v>
      </c>
      <c r="V9" s="6">
        <v>13.469999999999992</v>
      </c>
      <c r="W9" s="6">
        <v>0.4</v>
      </c>
      <c r="X9" s="6"/>
      <c r="Y9" s="6">
        <f t="shared" si="0"/>
        <v>0</v>
      </c>
      <c r="Z9" s="6">
        <f t="shared" si="1"/>
        <v>0</v>
      </c>
      <c r="AA9" s="6">
        <f t="shared" si="2"/>
        <v>90</v>
      </c>
      <c r="AB9" s="6">
        <f t="shared" si="3"/>
        <v>32.4</v>
      </c>
      <c r="AC9" s="6">
        <f t="shared" si="4"/>
        <v>65</v>
      </c>
      <c r="AD9" s="6">
        <f t="shared" si="5"/>
        <v>24.05</v>
      </c>
      <c r="AE9" s="6">
        <f t="shared" si="6"/>
        <v>32</v>
      </c>
      <c r="AF9" s="6">
        <f t="shared" si="7"/>
        <v>14.72</v>
      </c>
      <c r="AG9" s="6">
        <f t="shared" si="8"/>
        <v>0</v>
      </c>
      <c r="AH9" s="6">
        <f t="shared" si="9"/>
        <v>0</v>
      </c>
      <c r="AI9" s="6">
        <f t="shared" si="10"/>
        <v>22.999999999999989</v>
      </c>
      <c r="AJ9" s="6">
        <f t="shared" si="11"/>
        <v>9.1999999999999957</v>
      </c>
      <c r="AK9" s="6">
        <f t="shared" si="12"/>
        <v>100</v>
      </c>
      <c r="AL9" s="6">
        <f t="shared" si="13"/>
        <v>46</v>
      </c>
      <c r="AM9" s="6"/>
      <c r="AN9" s="6">
        <f t="shared" si="14"/>
        <v>155</v>
      </c>
      <c r="AO9" s="6">
        <f t="shared" si="15"/>
        <v>155</v>
      </c>
      <c r="AP9" s="6">
        <f t="shared" si="16"/>
        <v>13.469999999999988</v>
      </c>
      <c r="AQ9" s="6"/>
      <c r="AR9" s="6">
        <f t="shared" si="18"/>
        <v>7</v>
      </c>
      <c r="AS9" s="6">
        <f t="shared" si="17"/>
        <v>0.4</v>
      </c>
      <c r="AT9" s="6"/>
      <c r="AU9" s="6"/>
      <c r="AV9" s="6"/>
      <c r="BC9" s="10">
        <f t="shared" si="19"/>
        <v>7</v>
      </c>
      <c r="BD9" s="10">
        <v>90</v>
      </c>
      <c r="BE9" s="11">
        <v>0.4</v>
      </c>
      <c r="BF9" s="12">
        <v>90</v>
      </c>
      <c r="BG9" s="11">
        <v>0.36</v>
      </c>
      <c r="BH9" s="12">
        <v>65</v>
      </c>
      <c r="BI9" s="11">
        <v>0.37</v>
      </c>
      <c r="BJ9" s="12">
        <v>32</v>
      </c>
      <c r="BK9" s="11">
        <v>0.46</v>
      </c>
      <c r="BL9" s="12">
        <v>55</v>
      </c>
      <c r="BM9" s="11">
        <v>0.38</v>
      </c>
      <c r="BN9" s="12">
        <v>70</v>
      </c>
      <c r="BO9" s="11">
        <v>0.4</v>
      </c>
      <c r="BP9" s="12">
        <v>100</v>
      </c>
      <c r="BQ9" s="13">
        <v>0.46</v>
      </c>
      <c r="BR9" s="10">
        <f t="shared" si="20"/>
        <v>7</v>
      </c>
      <c r="BS9" s="25">
        <v>0</v>
      </c>
      <c r="BT9" s="11">
        <v>1</v>
      </c>
      <c r="BU9" s="11">
        <v>1</v>
      </c>
      <c r="BV9" s="11">
        <v>1</v>
      </c>
      <c r="BW9" s="11">
        <v>0</v>
      </c>
      <c r="BX9" s="11">
        <v>0.3285714285714284</v>
      </c>
      <c r="BY9" s="13">
        <v>1</v>
      </c>
      <c r="BZ9" s="27">
        <v>13.469999999999992</v>
      </c>
    </row>
    <row r="10" spans="1:78" x14ac:dyDescent="0.4">
      <c r="A10" s="10">
        <v>110</v>
      </c>
      <c r="B10" s="11">
        <v>0.4</v>
      </c>
      <c r="C10" s="11">
        <v>0</v>
      </c>
      <c r="D10" s="12">
        <v>60</v>
      </c>
      <c r="E10" s="11">
        <v>0.37</v>
      </c>
      <c r="F10" s="11">
        <v>1</v>
      </c>
      <c r="G10" s="12">
        <v>80</v>
      </c>
      <c r="H10" s="11">
        <v>0.41</v>
      </c>
      <c r="I10" s="11">
        <v>0</v>
      </c>
      <c r="J10" s="12">
        <v>85</v>
      </c>
      <c r="K10" s="11">
        <v>0.36</v>
      </c>
      <c r="L10" s="11">
        <v>0</v>
      </c>
      <c r="M10" s="12">
        <v>55</v>
      </c>
      <c r="N10" s="11">
        <v>0.44</v>
      </c>
      <c r="O10" s="11">
        <v>1</v>
      </c>
      <c r="P10" s="12">
        <v>60</v>
      </c>
      <c r="Q10" s="11">
        <v>0.37</v>
      </c>
      <c r="R10" s="11">
        <v>0</v>
      </c>
      <c r="S10" s="12">
        <v>60</v>
      </c>
      <c r="T10" s="11">
        <v>0.39</v>
      </c>
      <c r="U10" s="13">
        <v>8.333333333333337E-2</v>
      </c>
      <c r="V10" s="6">
        <v>3.9500000000000011</v>
      </c>
      <c r="W10" s="6">
        <v>0.39</v>
      </c>
      <c r="X10" s="6"/>
      <c r="Y10" s="6">
        <f t="shared" si="0"/>
        <v>0</v>
      </c>
      <c r="Z10" s="6">
        <f t="shared" si="1"/>
        <v>0</v>
      </c>
      <c r="AA10" s="6">
        <f t="shared" si="2"/>
        <v>60</v>
      </c>
      <c r="AB10" s="6">
        <f t="shared" si="3"/>
        <v>22.2</v>
      </c>
      <c r="AC10" s="6">
        <f t="shared" si="4"/>
        <v>0</v>
      </c>
      <c r="AD10" s="6">
        <f t="shared" si="5"/>
        <v>0</v>
      </c>
      <c r="AE10" s="6">
        <f t="shared" si="6"/>
        <v>0</v>
      </c>
      <c r="AF10" s="6">
        <f t="shared" si="7"/>
        <v>0</v>
      </c>
      <c r="AG10" s="6">
        <f t="shared" si="8"/>
        <v>55</v>
      </c>
      <c r="AH10" s="6">
        <f t="shared" si="9"/>
        <v>24.2</v>
      </c>
      <c r="AI10" s="6">
        <f t="shared" si="10"/>
        <v>0</v>
      </c>
      <c r="AJ10" s="6">
        <f t="shared" si="11"/>
        <v>0</v>
      </c>
      <c r="AK10" s="6">
        <f t="shared" si="12"/>
        <v>5.0000000000000018</v>
      </c>
      <c r="AL10" s="6">
        <f t="shared" si="13"/>
        <v>1.9500000000000008</v>
      </c>
      <c r="AM10" s="6"/>
      <c r="AN10" s="6">
        <f t="shared" si="14"/>
        <v>60</v>
      </c>
      <c r="AO10" s="6">
        <f t="shared" si="15"/>
        <v>60</v>
      </c>
      <c r="AP10" s="6">
        <f t="shared" si="16"/>
        <v>3.9499999999999993</v>
      </c>
      <c r="AQ10" s="6"/>
      <c r="AR10" s="6">
        <f t="shared" si="18"/>
        <v>8</v>
      </c>
      <c r="AS10" s="6">
        <f t="shared" si="17"/>
        <v>0.39</v>
      </c>
      <c r="AT10" s="6"/>
      <c r="AU10" s="6"/>
      <c r="AV10" s="6"/>
      <c r="BC10" s="10">
        <f t="shared" si="19"/>
        <v>8</v>
      </c>
      <c r="BD10" s="10">
        <v>110</v>
      </c>
      <c r="BE10" s="11">
        <v>0.4</v>
      </c>
      <c r="BF10" s="12">
        <v>60</v>
      </c>
      <c r="BG10" s="11">
        <v>0.37</v>
      </c>
      <c r="BH10" s="12">
        <v>80</v>
      </c>
      <c r="BI10" s="11">
        <v>0.41</v>
      </c>
      <c r="BJ10" s="12">
        <v>85</v>
      </c>
      <c r="BK10" s="11">
        <v>0.36</v>
      </c>
      <c r="BL10" s="12">
        <v>55</v>
      </c>
      <c r="BM10" s="11">
        <v>0.44</v>
      </c>
      <c r="BN10" s="12">
        <v>60</v>
      </c>
      <c r="BO10" s="11">
        <v>0.37</v>
      </c>
      <c r="BP10" s="12">
        <v>60</v>
      </c>
      <c r="BQ10" s="13">
        <v>0.39</v>
      </c>
      <c r="BR10" s="10">
        <f t="shared" si="20"/>
        <v>8</v>
      </c>
      <c r="BS10" s="25">
        <v>0</v>
      </c>
      <c r="BT10" s="11">
        <v>1</v>
      </c>
      <c r="BU10" s="11">
        <v>0</v>
      </c>
      <c r="BV10" s="11">
        <v>0</v>
      </c>
      <c r="BW10" s="11">
        <v>1</v>
      </c>
      <c r="BX10" s="11">
        <v>0</v>
      </c>
      <c r="BY10" s="13">
        <v>8.333333333333337E-2</v>
      </c>
      <c r="BZ10" s="27">
        <v>3.9500000000000011</v>
      </c>
    </row>
    <row r="11" spans="1:78" x14ac:dyDescent="0.4">
      <c r="A11" s="10">
        <v>95</v>
      </c>
      <c r="B11" s="11">
        <v>0.41</v>
      </c>
      <c r="C11" s="11">
        <v>0.8421052631578948</v>
      </c>
      <c r="D11" s="12">
        <v>60</v>
      </c>
      <c r="E11" s="11">
        <v>0.38</v>
      </c>
      <c r="F11" s="11">
        <v>1</v>
      </c>
      <c r="G11" s="12">
        <v>90</v>
      </c>
      <c r="H11" s="11">
        <v>0.43</v>
      </c>
      <c r="I11" s="11">
        <v>0</v>
      </c>
      <c r="J11" s="12">
        <v>33</v>
      </c>
      <c r="K11" s="11">
        <v>0.38</v>
      </c>
      <c r="L11" s="11">
        <v>0</v>
      </c>
      <c r="M11" s="12">
        <v>55</v>
      </c>
      <c r="N11" s="11">
        <v>0.47</v>
      </c>
      <c r="O11" s="11">
        <v>1</v>
      </c>
      <c r="P11" s="12">
        <v>60</v>
      </c>
      <c r="Q11" s="11">
        <v>0.39</v>
      </c>
      <c r="R11" s="11">
        <v>0</v>
      </c>
      <c r="S11" s="12">
        <v>85</v>
      </c>
      <c r="T11" s="11">
        <v>0.42</v>
      </c>
      <c r="U11" s="13">
        <v>1</v>
      </c>
      <c r="V11" s="6">
        <v>5.9499999999999993</v>
      </c>
      <c r="W11" s="6">
        <v>0.41</v>
      </c>
      <c r="X11" s="6"/>
      <c r="Y11" s="6">
        <f t="shared" si="0"/>
        <v>80</v>
      </c>
      <c r="Z11" s="6">
        <f t="shared" si="1"/>
        <v>32.799999999999997</v>
      </c>
      <c r="AA11" s="6">
        <f t="shared" si="2"/>
        <v>60</v>
      </c>
      <c r="AB11" s="6">
        <f t="shared" si="3"/>
        <v>22.8</v>
      </c>
      <c r="AC11" s="6">
        <f t="shared" si="4"/>
        <v>0</v>
      </c>
      <c r="AD11" s="6">
        <f t="shared" si="5"/>
        <v>0</v>
      </c>
      <c r="AE11" s="6">
        <f t="shared" si="6"/>
        <v>0</v>
      </c>
      <c r="AF11" s="6">
        <f t="shared" si="7"/>
        <v>0</v>
      </c>
      <c r="AG11" s="6">
        <f t="shared" si="8"/>
        <v>55</v>
      </c>
      <c r="AH11" s="6">
        <f t="shared" si="9"/>
        <v>25.849999999999998</v>
      </c>
      <c r="AI11" s="6">
        <f t="shared" si="10"/>
        <v>0</v>
      </c>
      <c r="AJ11" s="6">
        <f t="shared" si="11"/>
        <v>0</v>
      </c>
      <c r="AK11" s="6">
        <f t="shared" si="12"/>
        <v>85</v>
      </c>
      <c r="AL11" s="6">
        <f t="shared" si="13"/>
        <v>35.699999999999996</v>
      </c>
      <c r="AM11" s="6"/>
      <c r="AN11" s="6">
        <f t="shared" si="14"/>
        <v>140</v>
      </c>
      <c r="AO11" s="6">
        <f t="shared" si="15"/>
        <v>140</v>
      </c>
      <c r="AP11" s="6">
        <f t="shared" si="16"/>
        <v>5.9499999999999993</v>
      </c>
      <c r="AQ11" s="6"/>
      <c r="AR11" s="6">
        <f t="shared" si="18"/>
        <v>9</v>
      </c>
      <c r="AS11" s="6">
        <f t="shared" si="17"/>
        <v>0.41</v>
      </c>
      <c r="AT11" s="6"/>
      <c r="AU11" s="6"/>
      <c r="AV11" s="6"/>
      <c r="BC11" s="10">
        <f t="shared" si="19"/>
        <v>9</v>
      </c>
      <c r="BD11" s="10">
        <v>95</v>
      </c>
      <c r="BE11" s="11">
        <v>0.41</v>
      </c>
      <c r="BF11" s="12">
        <v>60</v>
      </c>
      <c r="BG11" s="11">
        <v>0.38</v>
      </c>
      <c r="BH11" s="12">
        <v>90</v>
      </c>
      <c r="BI11" s="11">
        <v>0.43</v>
      </c>
      <c r="BJ11" s="12">
        <v>33</v>
      </c>
      <c r="BK11" s="11">
        <v>0.38</v>
      </c>
      <c r="BL11" s="12">
        <v>55</v>
      </c>
      <c r="BM11" s="11">
        <v>0.47</v>
      </c>
      <c r="BN11" s="12">
        <v>60</v>
      </c>
      <c r="BO11" s="11">
        <v>0.39</v>
      </c>
      <c r="BP11" s="12">
        <v>85</v>
      </c>
      <c r="BQ11" s="13">
        <v>0.42</v>
      </c>
      <c r="BR11" s="10">
        <f t="shared" si="20"/>
        <v>9</v>
      </c>
      <c r="BS11" s="25">
        <v>0.8421052631578948</v>
      </c>
      <c r="BT11" s="11">
        <v>1</v>
      </c>
      <c r="BU11" s="11">
        <v>0</v>
      </c>
      <c r="BV11" s="11">
        <v>0</v>
      </c>
      <c r="BW11" s="11">
        <v>1</v>
      </c>
      <c r="BX11" s="11">
        <v>0</v>
      </c>
      <c r="BY11" s="13">
        <v>1</v>
      </c>
      <c r="BZ11" s="27">
        <v>5.9499999999999993</v>
      </c>
    </row>
    <row r="12" spans="1:78" x14ac:dyDescent="0.4">
      <c r="A12" s="10">
        <v>120</v>
      </c>
      <c r="B12" s="11">
        <v>0.44</v>
      </c>
      <c r="C12" s="11">
        <v>0.74999999999999989</v>
      </c>
      <c r="D12" s="12">
        <v>60</v>
      </c>
      <c r="E12" s="11">
        <v>0.36</v>
      </c>
      <c r="F12" s="11">
        <v>1</v>
      </c>
      <c r="G12" s="12">
        <v>70</v>
      </c>
      <c r="H12" s="11">
        <v>0.46</v>
      </c>
      <c r="I12" s="11">
        <v>0</v>
      </c>
      <c r="J12" s="12">
        <v>30</v>
      </c>
      <c r="K12" s="11">
        <v>0.51</v>
      </c>
      <c r="L12" s="11">
        <v>1</v>
      </c>
      <c r="M12" s="12">
        <v>55</v>
      </c>
      <c r="N12" s="11">
        <v>0.49</v>
      </c>
      <c r="O12" s="11">
        <v>1</v>
      </c>
      <c r="P12" s="12">
        <v>60</v>
      </c>
      <c r="Q12" s="11">
        <v>0.36</v>
      </c>
      <c r="R12" s="11">
        <v>0</v>
      </c>
      <c r="S12" s="12">
        <v>65</v>
      </c>
      <c r="T12" s="11">
        <v>0.59</v>
      </c>
      <c r="U12" s="13">
        <v>1</v>
      </c>
      <c r="V12" s="6">
        <v>19.400000000000009</v>
      </c>
      <c r="W12" s="6">
        <v>0.44</v>
      </c>
      <c r="X12" s="6"/>
      <c r="Y12" s="6">
        <f t="shared" si="0"/>
        <v>89.999999999999986</v>
      </c>
      <c r="Z12" s="6">
        <f t="shared" si="1"/>
        <v>39.599999999999994</v>
      </c>
      <c r="AA12" s="6">
        <f t="shared" si="2"/>
        <v>60</v>
      </c>
      <c r="AB12" s="6">
        <f t="shared" si="3"/>
        <v>21.599999999999998</v>
      </c>
      <c r="AC12" s="6">
        <f t="shared" si="4"/>
        <v>0</v>
      </c>
      <c r="AD12" s="6">
        <f t="shared" si="5"/>
        <v>0</v>
      </c>
      <c r="AE12" s="6">
        <f t="shared" si="6"/>
        <v>30</v>
      </c>
      <c r="AF12" s="6">
        <f t="shared" si="7"/>
        <v>15.3</v>
      </c>
      <c r="AG12" s="6">
        <f t="shared" si="8"/>
        <v>55</v>
      </c>
      <c r="AH12" s="6">
        <f t="shared" si="9"/>
        <v>26.95</v>
      </c>
      <c r="AI12" s="6">
        <f t="shared" si="10"/>
        <v>0</v>
      </c>
      <c r="AJ12" s="6">
        <f t="shared" si="11"/>
        <v>0</v>
      </c>
      <c r="AK12" s="6">
        <f t="shared" si="12"/>
        <v>65</v>
      </c>
      <c r="AL12" s="6">
        <f t="shared" si="13"/>
        <v>38.35</v>
      </c>
      <c r="AM12" s="6"/>
      <c r="AN12" s="6">
        <f t="shared" si="14"/>
        <v>150</v>
      </c>
      <c r="AO12" s="6">
        <f t="shared" si="15"/>
        <v>150</v>
      </c>
      <c r="AP12" s="6">
        <f t="shared" si="16"/>
        <v>19.400000000000002</v>
      </c>
      <c r="AQ12" s="6"/>
      <c r="AR12" s="6">
        <f t="shared" si="18"/>
        <v>10</v>
      </c>
      <c r="AS12" s="6">
        <f t="shared" si="17"/>
        <v>0.44</v>
      </c>
      <c r="AT12" s="6"/>
      <c r="AU12" s="6"/>
      <c r="AV12" s="6"/>
      <c r="BC12" s="10">
        <f t="shared" si="19"/>
        <v>10</v>
      </c>
      <c r="BD12" s="10">
        <v>120</v>
      </c>
      <c r="BE12" s="11">
        <v>0.44</v>
      </c>
      <c r="BF12" s="12">
        <v>60</v>
      </c>
      <c r="BG12" s="11">
        <v>0.36</v>
      </c>
      <c r="BH12" s="12">
        <v>70</v>
      </c>
      <c r="BI12" s="11">
        <v>0.46</v>
      </c>
      <c r="BJ12" s="12">
        <v>30</v>
      </c>
      <c r="BK12" s="11">
        <v>0.51</v>
      </c>
      <c r="BL12" s="12">
        <v>55</v>
      </c>
      <c r="BM12" s="11">
        <v>0.49</v>
      </c>
      <c r="BN12" s="12">
        <v>60</v>
      </c>
      <c r="BO12" s="11">
        <v>0.36</v>
      </c>
      <c r="BP12" s="12">
        <v>65</v>
      </c>
      <c r="BQ12" s="13">
        <v>0.59</v>
      </c>
      <c r="BR12" s="10">
        <f t="shared" si="20"/>
        <v>10</v>
      </c>
      <c r="BS12" s="25">
        <v>0.74999999999999989</v>
      </c>
      <c r="BT12" s="11">
        <v>1</v>
      </c>
      <c r="BU12" s="11">
        <v>0</v>
      </c>
      <c r="BV12" s="11">
        <v>1</v>
      </c>
      <c r="BW12" s="11">
        <v>1</v>
      </c>
      <c r="BX12" s="11">
        <v>0</v>
      </c>
      <c r="BY12" s="13">
        <v>1</v>
      </c>
      <c r="BZ12" s="27">
        <v>19.400000000000009</v>
      </c>
    </row>
    <row r="13" spans="1:78" x14ac:dyDescent="0.4">
      <c r="A13" s="10">
        <v>90</v>
      </c>
      <c r="B13" s="11">
        <v>0.49</v>
      </c>
      <c r="C13" s="11">
        <v>0</v>
      </c>
      <c r="D13" s="12">
        <v>60</v>
      </c>
      <c r="E13" s="11">
        <v>0.35</v>
      </c>
      <c r="F13" s="11">
        <v>1</v>
      </c>
      <c r="G13" s="12">
        <v>90</v>
      </c>
      <c r="H13" s="11">
        <v>0.48</v>
      </c>
      <c r="I13" s="11">
        <v>0</v>
      </c>
      <c r="J13" s="12">
        <v>35</v>
      </c>
      <c r="K13" s="11">
        <v>0.41</v>
      </c>
      <c r="L13" s="11">
        <v>0.4285714285714286</v>
      </c>
      <c r="M13" s="12">
        <v>40</v>
      </c>
      <c r="N13" s="11">
        <v>0.41</v>
      </c>
      <c r="O13" s="11">
        <v>0</v>
      </c>
      <c r="P13" s="12">
        <v>60</v>
      </c>
      <c r="Q13" s="11">
        <v>0.38</v>
      </c>
      <c r="R13" s="11">
        <v>0</v>
      </c>
      <c r="S13" s="12">
        <v>45</v>
      </c>
      <c r="T13" s="11">
        <v>0.57999999999999996</v>
      </c>
      <c r="U13" s="13">
        <v>1</v>
      </c>
      <c r="V13" s="6">
        <v>11.249999999999998</v>
      </c>
      <c r="W13" s="6">
        <v>0.41</v>
      </c>
      <c r="X13" s="6"/>
      <c r="Y13" s="6">
        <f t="shared" si="0"/>
        <v>0</v>
      </c>
      <c r="Z13" s="6">
        <f t="shared" si="1"/>
        <v>0</v>
      </c>
      <c r="AA13" s="6">
        <f t="shared" si="2"/>
        <v>60</v>
      </c>
      <c r="AB13" s="6">
        <f t="shared" si="3"/>
        <v>21</v>
      </c>
      <c r="AC13" s="6">
        <f t="shared" si="4"/>
        <v>0</v>
      </c>
      <c r="AD13" s="6">
        <f t="shared" si="5"/>
        <v>0</v>
      </c>
      <c r="AE13" s="6">
        <f t="shared" si="6"/>
        <v>15.000000000000002</v>
      </c>
      <c r="AF13" s="6">
        <f t="shared" si="7"/>
        <v>6.15</v>
      </c>
      <c r="AG13" s="6">
        <f t="shared" si="8"/>
        <v>0</v>
      </c>
      <c r="AH13" s="6">
        <f t="shared" si="9"/>
        <v>0</v>
      </c>
      <c r="AI13" s="6">
        <f t="shared" si="10"/>
        <v>0</v>
      </c>
      <c r="AJ13" s="6">
        <f t="shared" si="11"/>
        <v>0</v>
      </c>
      <c r="AK13" s="6">
        <f t="shared" si="12"/>
        <v>45</v>
      </c>
      <c r="AL13" s="6">
        <f t="shared" si="13"/>
        <v>26.099999999999998</v>
      </c>
      <c r="AM13" s="6"/>
      <c r="AN13" s="6">
        <f t="shared" si="14"/>
        <v>60</v>
      </c>
      <c r="AO13" s="6">
        <f t="shared" si="15"/>
        <v>60</v>
      </c>
      <c r="AP13" s="6">
        <f t="shared" si="16"/>
        <v>11.25</v>
      </c>
      <c r="AQ13" s="6"/>
      <c r="AR13" s="6">
        <f t="shared" si="18"/>
        <v>11</v>
      </c>
      <c r="AS13" s="6">
        <f t="shared" si="17"/>
        <v>0.41</v>
      </c>
      <c r="AT13" s="6"/>
      <c r="AU13" s="6"/>
      <c r="AV13" s="6"/>
      <c r="BC13" s="10">
        <f t="shared" si="19"/>
        <v>11</v>
      </c>
      <c r="BD13" s="10">
        <v>90</v>
      </c>
      <c r="BE13" s="11">
        <v>0.49</v>
      </c>
      <c r="BF13" s="12">
        <v>60</v>
      </c>
      <c r="BG13" s="11">
        <v>0.35</v>
      </c>
      <c r="BH13" s="12">
        <v>90</v>
      </c>
      <c r="BI13" s="11">
        <v>0.48</v>
      </c>
      <c r="BJ13" s="12">
        <v>35</v>
      </c>
      <c r="BK13" s="11">
        <v>0.41</v>
      </c>
      <c r="BL13" s="12">
        <v>40</v>
      </c>
      <c r="BM13" s="11">
        <v>0.41</v>
      </c>
      <c r="BN13" s="12">
        <v>60</v>
      </c>
      <c r="BO13" s="11">
        <v>0.38</v>
      </c>
      <c r="BP13" s="12">
        <v>45</v>
      </c>
      <c r="BQ13" s="13">
        <v>0.57999999999999996</v>
      </c>
      <c r="BR13" s="10">
        <f t="shared" si="20"/>
        <v>11</v>
      </c>
      <c r="BS13" s="25">
        <v>0</v>
      </c>
      <c r="BT13" s="11">
        <v>1</v>
      </c>
      <c r="BU13" s="11">
        <v>0</v>
      </c>
      <c r="BV13" s="11">
        <v>0.4285714285714286</v>
      </c>
      <c r="BW13" s="11">
        <v>0</v>
      </c>
      <c r="BX13" s="11">
        <v>0</v>
      </c>
      <c r="BY13" s="13">
        <v>1</v>
      </c>
      <c r="BZ13" s="27">
        <v>11.249999999999998</v>
      </c>
    </row>
    <row r="14" spans="1:78" x14ac:dyDescent="0.4">
      <c r="A14" s="10">
        <v>110</v>
      </c>
      <c r="B14" s="11">
        <v>0.36</v>
      </c>
      <c r="C14" s="11">
        <v>1</v>
      </c>
      <c r="D14" s="12">
        <v>75</v>
      </c>
      <c r="E14" s="11">
        <v>0.38</v>
      </c>
      <c r="F14" s="11">
        <v>0.73333333333333339</v>
      </c>
      <c r="G14" s="12">
        <v>60</v>
      </c>
      <c r="H14" s="11">
        <v>0.41</v>
      </c>
      <c r="I14" s="11">
        <v>0</v>
      </c>
      <c r="J14" s="12">
        <v>35</v>
      </c>
      <c r="K14" s="11">
        <v>0.56000000000000005</v>
      </c>
      <c r="L14" s="11">
        <v>1</v>
      </c>
      <c r="M14" s="12">
        <v>50</v>
      </c>
      <c r="N14" s="11">
        <v>0.36</v>
      </c>
      <c r="O14" s="11">
        <v>0</v>
      </c>
      <c r="P14" s="12">
        <v>60</v>
      </c>
      <c r="Q14" s="11">
        <v>0.56999999999999995</v>
      </c>
      <c r="R14" s="11">
        <v>1</v>
      </c>
      <c r="S14" s="12">
        <v>70</v>
      </c>
      <c r="T14" s="11">
        <v>0.54</v>
      </c>
      <c r="U14" s="13">
        <v>1</v>
      </c>
      <c r="V14" s="6">
        <v>31.1</v>
      </c>
      <c r="W14" s="6">
        <v>0.38</v>
      </c>
      <c r="X14" s="6"/>
      <c r="Y14" s="6">
        <f t="shared" si="0"/>
        <v>110</v>
      </c>
      <c r="Z14" s="6">
        <f t="shared" si="1"/>
        <v>39.6</v>
      </c>
      <c r="AA14" s="6">
        <f t="shared" si="2"/>
        <v>55.000000000000007</v>
      </c>
      <c r="AB14" s="6">
        <f t="shared" si="3"/>
        <v>20.900000000000002</v>
      </c>
      <c r="AC14" s="6">
        <f t="shared" si="4"/>
        <v>0</v>
      </c>
      <c r="AD14" s="6">
        <f t="shared" si="5"/>
        <v>0</v>
      </c>
      <c r="AE14" s="6">
        <f t="shared" si="6"/>
        <v>35</v>
      </c>
      <c r="AF14" s="6">
        <f t="shared" si="7"/>
        <v>19.600000000000001</v>
      </c>
      <c r="AG14" s="6">
        <f t="shared" si="8"/>
        <v>0</v>
      </c>
      <c r="AH14" s="6">
        <f t="shared" si="9"/>
        <v>0</v>
      </c>
      <c r="AI14" s="6">
        <f t="shared" si="10"/>
        <v>60</v>
      </c>
      <c r="AJ14" s="6">
        <f t="shared" si="11"/>
        <v>34.199999999999996</v>
      </c>
      <c r="AK14" s="6">
        <f t="shared" si="12"/>
        <v>70</v>
      </c>
      <c r="AL14" s="6">
        <f t="shared" si="13"/>
        <v>37.800000000000004</v>
      </c>
      <c r="AM14" s="6"/>
      <c r="AN14" s="6">
        <f t="shared" si="14"/>
        <v>165</v>
      </c>
      <c r="AO14" s="6">
        <f t="shared" si="15"/>
        <v>165</v>
      </c>
      <c r="AP14" s="6">
        <f t="shared" si="16"/>
        <v>31.099999999999991</v>
      </c>
      <c r="AQ14" s="6"/>
      <c r="AR14" s="6">
        <f t="shared" si="18"/>
        <v>12</v>
      </c>
      <c r="AS14" s="6">
        <f t="shared" si="17"/>
        <v>0.38</v>
      </c>
      <c r="AT14" s="6"/>
      <c r="AU14" s="6"/>
      <c r="AV14" s="6"/>
      <c r="BC14" s="10">
        <f t="shared" si="19"/>
        <v>12</v>
      </c>
      <c r="BD14" s="10">
        <v>110</v>
      </c>
      <c r="BE14" s="11">
        <v>0.36</v>
      </c>
      <c r="BF14" s="12">
        <v>75</v>
      </c>
      <c r="BG14" s="11">
        <v>0.38</v>
      </c>
      <c r="BH14" s="12">
        <v>60</v>
      </c>
      <c r="BI14" s="11">
        <v>0.41</v>
      </c>
      <c r="BJ14" s="12">
        <v>35</v>
      </c>
      <c r="BK14" s="11">
        <v>0.56000000000000005</v>
      </c>
      <c r="BL14" s="12">
        <v>50</v>
      </c>
      <c r="BM14" s="11">
        <v>0.36</v>
      </c>
      <c r="BN14" s="12">
        <v>60</v>
      </c>
      <c r="BO14" s="11">
        <v>0.56999999999999995</v>
      </c>
      <c r="BP14" s="12">
        <v>70</v>
      </c>
      <c r="BQ14" s="13">
        <v>0.54</v>
      </c>
      <c r="BR14" s="10">
        <f t="shared" si="20"/>
        <v>12</v>
      </c>
      <c r="BS14" s="25">
        <v>1</v>
      </c>
      <c r="BT14" s="11">
        <v>0.73333333333333339</v>
      </c>
      <c r="BU14" s="11">
        <v>0</v>
      </c>
      <c r="BV14" s="11">
        <v>1</v>
      </c>
      <c r="BW14" s="11">
        <v>0</v>
      </c>
      <c r="BX14" s="11">
        <v>1</v>
      </c>
      <c r="BY14" s="13">
        <v>1</v>
      </c>
      <c r="BZ14" s="27">
        <v>31.1</v>
      </c>
    </row>
    <row r="15" spans="1:78" x14ac:dyDescent="0.4">
      <c r="A15" s="10">
        <v>95</v>
      </c>
      <c r="B15" s="11">
        <v>0.36</v>
      </c>
      <c r="C15" s="11">
        <v>1</v>
      </c>
      <c r="D15" s="12">
        <v>80</v>
      </c>
      <c r="E15" s="11">
        <v>0.38</v>
      </c>
      <c r="F15" s="11">
        <v>0</v>
      </c>
      <c r="G15" s="12">
        <v>60</v>
      </c>
      <c r="H15" s="11">
        <v>0.34</v>
      </c>
      <c r="I15" s="11">
        <v>1</v>
      </c>
      <c r="J15" s="12">
        <v>40</v>
      </c>
      <c r="K15" s="11">
        <v>0.41</v>
      </c>
      <c r="L15" s="11">
        <v>1</v>
      </c>
      <c r="M15" s="12">
        <v>60</v>
      </c>
      <c r="N15" s="11">
        <v>0.37</v>
      </c>
      <c r="O15" s="11">
        <v>0.74999999999999978</v>
      </c>
      <c r="P15" s="12">
        <v>65</v>
      </c>
      <c r="Q15" s="11">
        <v>0.36</v>
      </c>
      <c r="R15" s="11">
        <v>0</v>
      </c>
      <c r="S15" s="12">
        <v>70</v>
      </c>
      <c r="T15" s="11">
        <v>0.52</v>
      </c>
      <c r="U15" s="13">
        <v>1</v>
      </c>
      <c r="V15" s="6">
        <v>14.849999999999998</v>
      </c>
      <c r="W15" s="6">
        <v>0.37</v>
      </c>
      <c r="X15" s="6"/>
      <c r="Y15" s="6">
        <f t="shared" si="0"/>
        <v>95</v>
      </c>
      <c r="Z15" s="6">
        <f t="shared" si="1"/>
        <v>34.199999999999996</v>
      </c>
      <c r="AA15" s="6">
        <f t="shared" si="2"/>
        <v>0</v>
      </c>
      <c r="AB15" s="6">
        <f t="shared" si="3"/>
        <v>0</v>
      </c>
      <c r="AC15" s="6">
        <f t="shared" si="4"/>
        <v>60</v>
      </c>
      <c r="AD15" s="6">
        <f t="shared" si="5"/>
        <v>20.400000000000002</v>
      </c>
      <c r="AE15" s="6">
        <f t="shared" si="6"/>
        <v>40</v>
      </c>
      <c r="AF15" s="6">
        <f t="shared" si="7"/>
        <v>16.399999999999999</v>
      </c>
      <c r="AG15" s="6">
        <f t="shared" si="8"/>
        <v>44.999999999999986</v>
      </c>
      <c r="AH15" s="6">
        <f t="shared" si="9"/>
        <v>16.649999999999995</v>
      </c>
      <c r="AI15" s="6">
        <f t="shared" si="10"/>
        <v>0</v>
      </c>
      <c r="AJ15" s="6">
        <f t="shared" si="11"/>
        <v>0</v>
      </c>
      <c r="AK15" s="6">
        <f t="shared" si="12"/>
        <v>70</v>
      </c>
      <c r="AL15" s="6">
        <f t="shared" si="13"/>
        <v>36.4</v>
      </c>
      <c r="AM15" s="6"/>
      <c r="AN15" s="6">
        <f t="shared" si="14"/>
        <v>155</v>
      </c>
      <c r="AO15" s="6">
        <f t="shared" si="15"/>
        <v>155</v>
      </c>
      <c r="AP15" s="6">
        <f t="shared" si="16"/>
        <v>14.849999999999991</v>
      </c>
      <c r="AQ15" s="6"/>
      <c r="AR15" s="6">
        <f t="shared" si="18"/>
        <v>13</v>
      </c>
      <c r="AS15" s="6">
        <f t="shared" si="17"/>
        <v>0.37</v>
      </c>
      <c r="AT15" s="6"/>
      <c r="AU15" s="6"/>
      <c r="AV15" s="6"/>
      <c r="BC15" s="10">
        <f t="shared" si="19"/>
        <v>13</v>
      </c>
      <c r="BD15" s="10">
        <v>95</v>
      </c>
      <c r="BE15" s="11">
        <v>0.36</v>
      </c>
      <c r="BF15" s="12">
        <v>80</v>
      </c>
      <c r="BG15" s="11">
        <v>0.38</v>
      </c>
      <c r="BH15" s="12">
        <v>60</v>
      </c>
      <c r="BI15" s="11">
        <v>0.34</v>
      </c>
      <c r="BJ15" s="12">
        <v>40</v>
      </c>
      <c r="BK15" s="11">
        <v>0.41</v>
      </c>
      <c r="BL15" s="12">
        <v>60</v>
      </c>
      <c r="BM15" s="11">
        <v>0.37</v>
      </c>
      <c r="BN15" s="12">
        <v>65</v>
      </c>
      <c r="BO15" s="11">
        <v>0.36</v>
      </c>
      <c r="BP15" s="12">
        <v>70</v>
      </c>
      <c r="BQ15" s="13">
        <v>0.52</v>
      </c>
      <c r="BR15" s="10">
        <f t="shared" si="20"/>
        <v>13</v>
      </c>
      <c r="BS15" s="25">
        <v>1</v>
      </c>
      <c r="BT15" s="11">
        <v>0</v>
      </c>
      <c r="BU15" s="11">
        <v>1</v>
      </c>
      <c r="BV15" s="11">
        <v>1</v>
      </c>
      <c r="BW15" s="11">
        <v>0.74999999999999978</v>
      </c>
      <c r="BX15" s="11">
        <v>0</v>
      </c>
      <c r="BY15" s="13">
        <v>1</v>
      </c>
      <c r="BZ15" s="27">
        <v>14.849999999999998</v>
      </c>
    </row>
    <row r="16" spans="1:78" x14ac:dyDescent="0.4">
      <c r="A16" s="10">
        <v>120</v>
      </c>
      <c r="B16" s="11">
        <v>0.4</v>
      </c>
      <c r="C16" s="11">
        <v>0.125</v>
      </c>
      <c r="D16" s="12">
        <v>100</v>
      </c>
      <c r="E16" s="11">
        <v>0.41</v>
      </c>
      <c r="F16" s="11">
        <v>0</v>
      </c>
      <c r="G16" s="12">
        <v>60</v>
      </c>
      <c r="H16" s="11">
        <v>0.36</v>
      </c>
      <c r="I16" s="11">
        <v>1</v>
      </c>
      <c r="J16" s="12">
        <v>40</v>
      </c>
      <c r="K16" s="11">
        <v>0.37</v>
      </c>
      <c r="L16" s="11">
        <v>0</v>
      </c>
      <c r="M16" s="12">
        <v>45</v>
      </c>
      <c r="N16" s="11">
        <v>0.4</v>
      </c>
      <c r="O16" s="11">
        <v>0</v>
      </c>
      <c r="P16" s="12">
        <v>70</v>
      </c>
      <c r="Q16" s="11">
        <v>0.37</v>
      </c>
      <c r="R16" s="11">
        <v>0</v>
      </c>
      <c r="S16" s="12">
        <v>75</v>
      </c>
      <c r="T16" s="11">
        <v>0.48</v>
      </c>
      <c r="U16" s="13">
        <v>1</v>
      </c>
      <c r="V16" s="6">
        <v>8.4000000000000021</v>
      </c>
      <c r="W16" s="6">
        <v>0.4</v>
      </c>
      <c r="X16" s="6"/>
      <c r="Y16" s="6">
        <f t="shared" si="0"/>
        <v>15</v>
      </c>
      <c r="Z16" s="6">
        <f t="shared" si="1"/>
        <v>6</v>
      </c>
      <c r="AA16" s="6">
        <f t="shared" si="2"/>
        <v>0</v>
      </c>
      <c r="AB16" s="6">
        <f t="shared" si="3"/>
        <v>0</v>
      </c>
      <c r="AC16" s="6">
        <f t="shared" si="4"/>
        <v>60</v>
      </c>
      <c r="AD16" s="6">
        <f t="shared" si="5"/>
        <v>21.599999999999998</v>
      </c>
      <c r="AE16" s="6">
        <f t="shared" si="6"/>
        <v>0</v>
      </c>
      <c r="AF16" s="6">
        <f t="shared" si="7"/>
        <v>0</v>
      </c>
      <c r="AG16" s="6">
        <f t="shared" si="8"/>
        <v>0</v>
      </c>
      <c r="AH16" s="6">
        <f t="shared" si="9"/>
        <v>0</v>
      </c>
      <c r="AI16" s="6">
        <f t="shared" si="10"/>
        <v>0</v>
      </c>
      <c r="AJ16" s="6">
        <f t="shared" si="11"/>
        <v>0</v>
      </c>
      <c r="AK16" s="6">
        <f t="shared" si="12"/>
        <v>75</v>
      </c>
      <c r="AL16" s="6">
        <f t="shared" si="13"/>
        <v>36</v>
      </c>
      <c r="AM16" s="6"/>
      <c r="AN16" s="6">
        <f t="shared" si="14"/>
        <v>75</v>
      </c>
      <c r="AO16" s="6">
        <f t="shared" si="15"/>
        <v>75</v>
      </c>
      <c r="AP16" s="6">
        <f t="shared" si="16"/>
        <v>8.4000000000000021</v>
      </c>
      <c r="AQ16" s="6"/>
      <c r="AR16" s="6">
        <f t="shared" si="18"/>
        <v>14</v>
      </c>
      <c r="AS16" s="6">
        <f t="shared" si="17"/>
        <v>0.4</v>
      </c>
      <c r="AT16" s="6"/>
      <c r="AU16" s="6"/>
      <c r="AV16" s="6"/>
      <c r="BC16" s="10">
        <f t="shared" si="19"/>
        <v>14</v>
      </c>
      <c r="BD16" s="10">
        <v>120</v>
      </c>
      <c r="BE16" s="11">
        <v>0.4</v>
      </c>
      <c r="BF16" s="12">
        <v>100</v>
      </c>
      <c r="BG16" s="11">
        <v>0.41</v>
      </c>
      <c r="BH16" s="12">
        <v>60</v>
      </c>
      <c r="BI16" s="11">
        <v>0.36</v>
      </c>
      <c r="BJ16" s="12">
        <v>40</v>
      </c>
      <c r="BK16" s="11">
        <v>0.37</v>
      </c>
      <c r="BL16" s="12">
        <v>45</v>
      </c>
      <c r="BM16" s="11">
        <v>0.4</v>
      </c>
      <c r="BN16" s="12">
        <v>70</v>
      </c>
      <c r="BO16" s="11">
        <v>0.37</v>
      </c>
      <c r="BP16" s="12">
        <v>75</v>
      </c>
      <c r="BQ16" s="13">
        <v>0.48</v>
      </c>
      <c r="BR16" s="10">
        <f t="shared" si="20"/>
        <v>14</v>
      </c>
      <c r="BS16" s="25">
        <v>0.125</v>
      </c>
      <c r="BT16" s="11">
        <v>0</v>
      </c>
      <c r="BU16" s="11">
        <v>1</v>
      </c>
      <c r="BV16" s="11">
        <v>0</v>
      </c>
      <c r="BW16" s="11">
        <v>0</v>
      </c>
      <c r="BX16" s="11">
        <v>0</v>
      </c>
      <c r="BY16" s="13">
        <v>1</v>
      </c>
      <c r="BZ16" s="27">
        <v>8.4000000000000021</v>
      </c>
    </row>
    <row r="17" spans="1:78" x14ac:dyDescent="0.4">
      <c r="A17" s="10">
        <v>90</v>
      </c>
      <c r="B17" s="11">
        <v>0.4</v>
      </c>
      <c r="C17" s="11">
        <v>0</v>
      </c>
      <c r="D17" s="12">
        <v>90</v>
      </c>
      <c r="E17" s="11">
        <v>0.35</v>
      </c>
      <c r="F17" s="11">
        <v>1</v>
      </c>
      <c r="G17" s="12">
        <v>60</v>
      </c>
      <c r="H17" s="11">
        <v>0.38</v>
      </c>
      <c r="I17" s="11">
        <v>0</v>
      </c>
      <c r="J17" s="12">
        <v>35</v>
      </c>
      <c r="K17" s="11">
        <v>0.35</v>
      </c>
      <c r="L17" s="11">
        <v>0</v>
      </c>
      <c r="M17" s="12">
        <v>45</v>
      </c>
      <c r="N17" s="11">
        <v>0.36</v>
      </c>
      <c r="O17" s="11">
        <v>0</v>
      </c>
      <c r="P17" s="12">
        <v>60</v>
      </c>
      <c r="Q17" s="11">
        <v>0.38</v>
      </c>
      <c r="R17" s="11">
        <v>0.41666666666666674</v>
      </c>
      <c r="S17" s="12">
        <v>65</v>
      </c>
      <c r="T17" s="11">
        <v>0.46</v>
      </c>
      <c r="U17" s="13">
        <v>1</v>
      </c>
      <c r="V17" s="6">
        <v>7.9000000000000092</v>
      </c>
      <c r="W17" s="6">
        <v>0.38</v>
      </c>
      <c r="X17" s="6"/>
      <c r="Y17" s="6">
        <f t="shared" si="0"/>
        <v>0</v>
      </c>
      <c r="Z17" s="6">
        <f t="shared" si="1"/>
        <v>0</v>
      </c>
      <c r="AA17" s="6">
        <f t="shared" si="2"/>
        <v>90</v>
      </c>
      <c r="AB17" s="6">
        <f t="shared" si="3"/>
        <v>31.499999999999996</v>
      </c>
      <c r="AC17" s="6">
        <f t="shared" si="4"/>
        <v>0</v>
      </c>
      <c r="AD17" s="6">
        <f t="shared" si="5"/>
        <v>0</v>
      </c>
      <c r="AE17" s="6">
        <f t="shared" si="6"/>
        <v>0</v>
      </c>
      <c r="AF17" s="6">
        <f t="shared" si="7"/>
        <v>0</v>
      </c>
      <c r="AG17" s="6">
        <f t="shared" si="8"/>
        <v>0</v>
      </c>
      <c r="AH17" s="6">
        <f t="shared" si="9"/>
        <v>0</v>
      </c>
      <c r="AI17" s="6">
        <f t="shared" si="10"/>
        <v>25.000000000000004</v>
      </c>
      <c r="AJ17" s="6">
        <f t="shared" si="11"/>
        <v>9.5000000000000018</v>
      </c>
      <c r="AK17" s="6">
        <f t="shared" si="12"/>
        <v>65</v>
      </c>
      <c r="AL17" s="6">
        <f t="shared" si="13"/>
        <v>29.900000000000002</v>
      </c>
      <c r="AM17" s="6"/>
      <c r="AN17" s="6">
        <f t="shared" si="14"/>
        <v>90</v>
      </c>
      <c r="AO17" s="6">
        <f t="shared" si="15"/>
        <v>90</v>
      </c>
      <c r="AP17" s="6">
        <f t="shared" si="16"/>
        <v>7.9000000000000092</v>
      </c>
      <c r="AQ17" s="6"/>
      <c r="AR17" s="6">
        <f t="shared" si="18"/>
        <v>15</v>
      </c>
      <c r="AS17" s="6">
        <f t="shared" si="17"/>
        <v>0.38</v>
      </c>
      <c r="AT17" s="6"/>
      <c r="AU17" s="6"/>
      <c r="AV17" s="6"/>
      <c r="BC17" s="10">
        <f t="shared" si="19"/>
        <v>15</v>
      </c>
      <c r="BD17" s="10">
        <v>90</v>
      </c>
      <c r="BE17" s="11">
        <v>0.4</v>
      </c>
      <c r="BF17" s="12">
        <v>90</v>
      </c>
      <c r="BG17" s="11">
        <v>0.35</v>
      </c>
      <c r="BH17" s="12">
        <v>60</v>
      </c>
      <c r="BI17" s="11">
        <v>0.38</v>
      </c>
      <c r="BJ17" s="12">
        <v>35</v>
      </c>
      <c r="BK17" s="11">
        <v>0.35</v>
      </c>
      <c r="BL17" s="12">
        <v>45</v>
      </c>
      <c r="BM17" s="11">
        <v>0.36</v>
      </c>
      <c r="BN17" s="12">
        <v>60</v>
      </c>
      <c r="BO17" s="11">
        <v>0.38</v>
      </c>
      <c r="BP17" s="12">
        <v>65</v>
      </c>
      <c r="BQ17" s="13">
        <v>0.46</v>
      </c>
      <c r="BR17" s="10">
        <f t="shared" si="20"/>
        <v>15</v>
      </c>
      <c r="BS17" s="25">
        <v>0</v>
      </c>
      <c r="BT17" s="11">
        <v>1</v>
      </c>
      <c r="BU17" s="11">
        <v>0</v>
      </c>
      <c r="BV17" s="11">
        <v>0</v>
      </c>
      <c r="BW17" s="11">
        <v>0</v>
      </c>
      <c r="BX17" s="11">
        <v>0.41666666666666674</v>
      </c>
      <c r="BY17" s="13">
        <v>1</v>
      </c>
      <c r="BZ17" s="27">
        <v>7.9000000000000092</v>
      </c>
    </row>
    <row r="18" spans="1:78" x14ac:dyDescent="0.4">
      <c r="A18" s="10">
        <v>100</v>
      </c>
      <c r="B18" s="11">
        <v>0.35</v>
      </c>
      <c r="C18" s="11">
        <v>1</v>
      </c>
      <c r="D18" s="12">
        <v>65</v>
      </c>
      <c r="E18" s="11">
        <v>0.35</v>
      </c>
      <c r="F18" s="11">
        <v>0.99999999999999978</v>
      </c>
      <c r="G18" s="12">
        <v>80</v>
      </c>
      <c r="H18" s="11">
        <v>0.49</v>
      </c>
      <c r="I18" s="11">
        <v>0</v>
      </c>
      <c r="J18" s="12">
        <v>60</v>
      </c>
      <c r="K18" s="11">
        <v>0.38</v>
      </c>
      <c r="L18" s="11">
        <v>1</v>
      </c>
      <c r="M18" s="12">
        <v>40</v>
      </c>
      <c r="N18" s="11">
        <v>0.37</v>
      </c>
      <c r="O18" s="11">
        <v>1</v>
      </c>
      <c r="P18" s="12">
        <v>60</v>
      </c>
      <c r="Q18" s="11">
        <v>0.34</v>
      </c>
      <c r="R18" s="11">
        <v>0</v>
      </c>
      <c r="S18" s="12">
        <v>65</v>
      </c>
      <c r="T18" s="11">
        <v>0.39</v>
      </c>
      <c r="U18" s="13">
        <v>1</v>
      </c>
      <c r="V18" s="6">
        <v>5.1999999999999993</v>
      </c>
      <c r="W18" s="6">
        <v>0.35</v>
      </c>
      <c r="X18" s="6"/>
      <c r="Y18" s="6">
        <f t="shared" si="0"/>
        <v>100</v>
      </c>
      <c r="Z18" s="6">
        <f t="shared" si="1"/>
        <v>35</v>
      </c>
      <c r="AA18" s="6">
        <f t="shared" si="2"/>
        <v>64.999999999999986</v>
      </c>
      <c r="AB18" s="6">
        <f t="shared" si="3"/>
        <v>22.749999999999993</v>
      </c>
      <c r="AC18" s="6">
        <f t="shared" si="4"/>
        <v>0</v>
      </c>
      <c r="AD18" s="6">
        <f t="shared" si="5"/>
        <v>0</v>
      </c>
      <c r="AE18" s="6">
        <f t="shared" si="6"/>
        <v>60</v>
      </c>
      <c r="AF18" s="6">
        <f t="shared" si="7"/>
        <v>22.8</v>
      </c>
      <c r="AG18" s="6">
        <f t="shared" si="8"/>
        <v>40</v>
      </c>
      <c r="AH18" s="6">
        <f t="shared" si="9"/>
        <v>14.8</v>
      </c>
      <c r="AI18" s="6">
        <f t="shared" si="10"/>
        <v>0</v>
      </c>
      <c r="AJ18" s="6">
        <f t="shared" si="11"/>
        <v>0</v>
      </c>
      <c r="AK18" s="6">
        <f t="shared" si="12"/>
        <v>65</v>
      </c>
      <c r="AL18" s="6">
        <f t="shared" si="13"/>
        <v>25.35</v>
      </c>
      <c r="AM18" s="6"/>
      <c r="AN18" s="6">
        <f t="shared" si="14"/>
        <v>165</v>
      </c>
      <c r="AO18" s="6">
        <f t="shared" si="15"/>
        <v>165</v>
      </c>
      <c r="AP18" s="6">
        <f t="shared" si="16"/>
        <v>5.2000000000000099</v>
      </c>
      <c r="AQ18" s="6"/>
      <c r="AR18" s="6">
        <f t="shared" si="18"/>
        <v>16</v>
      </c>
      <c r="AS18" s="6">
        <f t="shared" si="17"/>
        <v>0.35</v>
      </c>
      <c r="AT18" s="6"/>
      <c r="AU18" s="6"/>
      <c r="AV18" s="6"/>
      <c r="BC18" s="10">
        <f t="shared" si="19"/>
        <v>16</v>
      </c>
      <c r="BD18" s="10">
        <v>100</v>
      </c>
      <c r="BE18" s="11">
        <v>0.35</v>
      </c>
      <c r="BF18" s="12">
        <v>65</v>
      </c>
      <c r="BG18" s="11">
        <v>0.35</v>
      </c>
      <c r="BH18" s="12">
        <v>80</v>
      </c>
      <c r="BI18" s="11">
        <v>0.49</v>
      </c>
      <c r="BJ18" s="12">
        <v>60</v>
      </c>
      <c r="BK18" s="11">
        <v>0.38</v>
      </c>
      <c r="BL18" s="12">
        <v>40</v>
      </c>
      <c r="BM18" s="11">
        <v>0.37</v>
      </c>
      <c r="BN18" s="12">
        <v>60</v>
      </c>
      <c r="BO18" s="11">
        <v>0.34</v>
      </c>
      <c r="BP18" s="12">
        <v>65</v>
      </c>
      <c r="BQ18" s="13">
        <v>0.39</v>
      </c>
      <c r="BR18" s="10">
        <f t="shared" si="20"/>
        <v>16</v>
      </c>
      <c r="BS18" s="25">
        <v>1</v>
      </c>
      <c r="BT18" s="11">
        <v>0.99999999999999978</v>
      </c>
      <c r="BU18" s="11">
        <v>0</v>
      </c>
      <c r="BV18" s="11">
        <v>1</v>
      </c>
      <c r="BW18" s="11">
        <v>1</v>
      </c>
      <c r="BX18" s="11">
        <v>0</v>
      </c>
      <c r="BY18" s="13">
        <v>1</v>
      </c>
      <c r="BZ18" s="27">
        <v>5.1999999999999993</v>
      </c>
    </row>
    <row r="19" spans="1:78" x14ac:dyDescent="0.4">
      <c r="A19" s="10">
        <v>140</v>
      </c>
      <c r="B19" s="11">
        <v>0.36</v>
      </c>
      <c r="C19" s="11">
        <v>1</v>
      </c>
      <c r="D19" s="12">
        <v>65</v>
      </c>
      <c r="E19" s="11">
        <v>0.35</v>
      </c>
      <c r="F19" s="11">
        <v>1</v>
      </c>
      <c r="G19" s="12">
        <v>70</v>
      </c>
      <c r="H19" s="11">
        <v>0.44</v>
      </c>
      <c r="I19" s="11">
        <v>0</v>
      </c>
      <c r="J19" s="12">
        <v>60</v>
      </c>
      <c r="K19" s="11">
        <v>0.37</v>
      </c>
      <c r="L19" s="11">
        <v>0.66666666666666674</v>
      </c>
      <c r="M19" s="12">
        <v>45</v>
      </c>
      <c r="N19" s="11">
        <v>0.46</v>
      </c>
      <c r="O19" s="11">
        <v>1</v>
      </c>
      <c r="P19" s="12">
        <v>55</v>
      </c>
      <c r="Q19" s="11">
        <v>0.41</v>
      </c>
      <c r="R19" s="11">
        <v>1</v>
      </c>
      <c r="S19" s="12">
        <v>65</v>
      </c>
      <c r="T19" s="11">
        <v>0.42</v>
      </c>
      <c r="U19" s="13">
        <v>1</v>
      </c>
      <c r="V19" s="6">
        <v>12.199999999999992</v>
      </c>
      <c r="W19" s="6">
        <v>0.37</v>
      </c>
      <c r="X19" s="6"/>
      <c r="Y19" s="6">
        <f t="shared" si="0"/>
        <v>140</v>
      </c>
      <c r="Z19" s="6">
        <f t="shared" si="1"/>
        <v>50.4</v>
      </c>
      <c r="AA19" s="6">
        <f t="shared" si="2"/>
        <v>65</v>
      </c>
      <c r="AB19" s="6">
        <f t="shared" si="3"/>
        <v>22.75</v>
      </c>
      <c r="AC19" s="6">
        <f t="shared" si="4"/>
        <v>0</v>
      </c>
      <c r="AD19" s="6">
        <f t="shared" si="5"/>
        <v>0</v>
      </c>
      <c r="AE19" s="6">
        <f t="shared" si="6"/>
        <v>40.000000000000007</v>
      </c>
      <c r="AF19" s="6">
        <f t="shared" si="7"/>
        <v>14.800000000000002</v>
      </c>
      <c r="AG19" s="6">
        <f t="shared" si="8"/>
        <v>45</v>
      </c>
      <c r="AH19" s="6">
        <f t="shared" si="9"/>
        <v>20.7</v>
      </c>
      <c r="AI19" s="6">
        <f t="shared" si="10"/>
        <v>55</v>
      </c>
      <c r="AJ19" s="6">
        <f t="shared" si="11"/>
        <v>22.549999999999997</v>
      </c>
      <c r="AK19" s="6">
        <f t="shared" si="12"/>
        <v>65</v>
      </c>
      <c r="AL19" s="6">
        <f t="shared" si="13"/>
        <v>27.3</v>
      </c>
      <c r="AM19" s="6"/>
      <c r="AN19" s="6">
        <f t="shared" si="14"/>
        <v>205</v>
      </c>
      <c r="AO19" s="6">
        <f t="shared" si="15"/>
        <v>205</v>
      </c>
      <c r="AP19" s="6">
        <f t="shared" si="16"/>
        <v>12.199999999999996</v>
      </c>
      <c r="AQ19" s="6"/>
      <c r="AR19" s="6">
        <f t="shared" si="18"/>
        <v>17</v>
      </c>
      <c r="AS19" s="6">
        <f t="shared" si="17"/>
        <v>0.37</v>
      </c>
      <c r="AT19" s="6"/>
      <c r="AU19" s="6"/>
      <c r="AV19" s="6"/>
      <c r="BC19" s="10">
        <f t="shared" si="19"/>
        <v>17</v>
      </c>
      <c r="BD19" s="10">
        <v>140</v>
      </c>
      <c r="BE19" s="11">
        <v>0.36</v>
      </c>
      <c r="BF19" s="12">
        <v>65</v>
      </c>
      <c r="BG19" s="11">
        <v>0.35</v>
      </c>
      <c r="BH19" s="12">
        <v>70</v>
      </c>
      <c r="BI19" s="11">
        <v>0.44</v>
      </c>
      <c r="BJ19" s="12">
        <v>60</v>
      </c>
      <c r="BK19" s="11">
        <v>0.37</v>
      </c>
      <c r="BL19" s="12">
        <v>45</v>
      </c>
      <c r="BM19" s="11">
        <v>0.46</v>
      </c>
      <c r="BN19" s="12">
        <v>55</v>
      </c>
      <c r="BO19" s="11">
        <v>0.41</v>
      </c>
      <c r="BP19" s="12">
        <v>65</v>
      </c>
      <c r="BQ19" s="13">
        <v>0.42</v>
      </c>
      <c r="BR19" s="10">
        <f t="shared" si="20"/>
        <v>17</v>
      </c>
      <c r="BS19" s="25">
        <v>1</v>
      </c>
      <c r="BT19" s="11">
        <v>1</v>
      </c>
      <c r="BU19" s="11">
        <v>0</v>
      </c>
      <c r="BV19" s="11">
        <v>0.66666666666666674</v>
      </c>
      <c r="BW19" s="11">
        <v>1</v>
      </c>
      <c r="BX19" s="11">
        <v>1</v>
      </c>
      <c r="BY19" s="13">
        <v>1</v>
      </c>
      <c r="BZ19" s="27">
        <v>12.199999999999992</v>
      </c>
    </row>
    <row r="20" spans="1:78" x14ac:dyDescent="0.4">
      <c r="A20" s="10">
        <v>130</v>
      </c>
      <c r="B20" s="11">
        <v>0.37</v>
      </c>
      <c r="C20" s="11">
        <v>0.88461538461538469</v>
      </c>
      <c r="D20" s="12">
        <v>65</v>
      </c>
      <c r="E20" s="11">
        <v>0.36</v>
      </c>
      <c r="F20" s="11">
        <v>1</v>
      </c>
      <c r="G20" s="12">
        <v>80</v>
      </c>
      <c r="H20" s="11">
        <v>0.46</v>
      </c>
      <c r="I20" s="11">
        <v>0</v>
      </c>
      <c r="J20" s="12">
        <v>60</v>
      </c>
      <c r="K20" s="11">
        <v>0.46</v>
      </c>
      <c r="L20" s="11">
        <v>1</v>
      </c>
      <c r="M20" s="12">
        <v>45</v>
      </c>
      <c r="N20" s="11">
        <v>0.37</v>
      </c>
      <c r="O20" s="11">
        <v>0</v>
      </c>
      <c r="P20" s="12">
        <v>55</v>
      </c>
      <c r="Q20" s="11">
        <v>0.38</v>
      </c>
      <c r="R20" s="11">
        <v>1</v>
      </c>
      <c r="S20" s="12">
        <v>65</v>
      </c>
      <c r="T20" s="11">
        <v>0.47</v>
      </c>
      <c r="U20" s="13">
        <v>1</v>
      </c>
      <c r="V20" s="6">
        <v>13.099999999999994</v>
      </c>
      <c r="W20" s="6">
        <v>0.37</v>
      </c>
      <c r="X20" s="6"/>
      <c r="Y20" s="6">
        <f t="shared" si="0"/>
        <v>115.00000000000001</v>
      </c>
      <c r="Z20" s="6">
        <f t="shared" si="1"/>
        <v>42.550000000000004</v>
      </c>
      <c r="AA20" s="6">
        <f t="shared" si="2"/>
        <v>65</v>
      </c>
      <c r="AB20" s="6">
        <f t="shared" si="3"/>
        <v>23.4</v>
      </c>
      <c r="AC20" s="6">
        <f t="shared" si="4"/>
        <v>0</v>
      </c>
      <c r="AD20" s="6">
        <f t="shared" si="5"/>
        <v>0</v>
      </c>
      <c r="AE20" s="6">
        <f t="shared" si="6"/>
        <v>60</v>
      </c>
      <c r="AF20" s="6">
        <f t="shared" si="7"/>
        <v>27.6</v>
      </c>
      <c r="AG20" s="6">
        <f t="shared" si="8"/>
        <v>0</v>
      </c>
      <c r="AH20" s="6">
        <f t="shared" si="9"/>
        <v>0</v>
      </c>
      <c r="AI20" s="6">
        <f t="shared" si="10"/>
        <v>55</v>
      </c>
      <c r="AJ20" s="6">
        <f t="shared" si="11"/>
        <v>20.9</v>
      </c>
      <c r="AK20" s="6">
        <f t="shared" si="12"/>
        <v>65</v>
      </c>
      <c r="AL20" s="6">
        <f t="shared" si="13"/>
        <v>30.549999999999997</v>
      </c>
      <c r="AM20" s="6"/>
      <c r="AN20" s="6">
        <f t="shared" si="14"/>
        <v>180</v>
      </c>
      <c r="AO20" s="6">
        <f t="shared" si="15"/>
        <v>180</v>
      </c>
      <c r="AP20" s="6">
        <f t="shared" si="16"/>
        <v>13.099999999999994</v>
      </c>
      <c r="AQ20" s="6"/>
      <c r="AR20" s="6">
        <f t="shared" si="18"/>
        <v>18</v>
      </c>
      <c r="AS20" s="6">
        <f t="shared" si="17"/>
        <v>0.37</v>
      </c>
      <c r="AT20" s="6"/>
      <c r="AU20" s="6"/>
      <c r="AV20" s="6"/>
      <c r="BC20" s="10">
        <f t="shared" si="19"/>
        <v>18</v>
      </c>
      <c r="BD20" s="10">
        <v>130</v>
      </c>
      <c r="BE20" s="11">
        <v>0.37</v>
      </c>
      <c r="BF20" s="12">
        <v>65</v>
      </c>
      <c r="BG20" s="11">
        <v>0.36</v>
      </c>
      <c r="BH20" s="12">
        <v>80</v>
      </c>
      <c r="BI20" s="11">
        <v>0.46</v>
      </c>
      <c r="BJ20" s="12">
        <v>60</v>
      </c>
      <c r="BK20" s="11">
        <v>0.46</v>
      </c>
      <c r="BL20" s="12">
        <v>45</v>
      </c>
      <c r="BM20" s="11">
        <v>0.37</v>
      </c>
      <c r="BN20" s="12">
        <v>55</v>
      </c>
      <c r="BO20" s="11">
        <v>0.38</v>
      </c>
      <c r="BP20" s="12">
        <v>65</v>
      </c>
      <c r="BQ20" s="13">
        <v>0.47</v>
      </c>
      <c r="BR20" s="10">
        <f t="shared" si="20"/>
        <v>18</v>
      </c>
      <c r="BS20" s="25">
        <v>0.88461538461538469</v>
      </c>
      <c r="BT20" s="11">
        <v>1</v>
      </c>
      <c r="BU20" s="11">
        <v>0</v>
      </c>
      <c r="BV20" s="11">
        <v>1</v>
      </c>
      <c r="BW20" s="11">
        <v>0</v>
      </c>
      <c r="BX20" s="11">
        <v>1</v>
      </c>
      <c r="BY20" s="13">
        <v>1</v>
      </c>
      <c r="BZ20" s="27">
        <v>13.099999999999994</v>
      </c>
    </row>
    <row r="21" spans="1:78" x14ac:dyDescent="0.4">
      <c r="A21" s="10">
        <v>100</v>
      </c>
      <c r="B21" s="11">
        <v>0.56999999999999995</v>
      </c>
      <c r="C21" s="11">
        <v>0</v>
      </c>
      <c r="D21" s="12">
        <v>100</v>
      </c>
      <c r="E21" s="11">
        <v>0.4</v>
      </c>
      <c r="F21" s="11">
        <v>1</v>
      </c>
      <c r="G21" s="12">
        <v>75</v>
      </c>
      <c r="H21" s="11">
        <v>0.45</v>
      </c>
      <c r="I21" s="11">
        <v>0.66666666666666652</v>
      </c>
      <c r="J21" s="12">
        <v>60</v>
      </c>
      <c r="K21" s="11">
        <v>0.54</v>
      </c>
      <c r="L21" s="11">
        <v>1</v>
      </c>
      <c r="M21" s="12">
        <v>35</v>
      </c>
      <c r="N21" s="11">
        <v>0.56000000000000005</v>
      </c>
      <c r="O21" s="11">
        <v>1</v>
      </c>
      <c r="P21" s="12">
        <v>55</v>
      </c>
      <c r="Q21" s="11">
        <v>0.54</v>
      </c>
      <c r="R21" s="11">
        <v>1</v>
      </c>
      <c r="S21" s="12">
        <v>65</v>
      </c>
      <c r="T21" s="11">
        <v>0.37</v>
      </c>
      <c r="U21" s="13">
        <v>0</v>
      </c>
      <c r="V21" s="6">
        <v>19.20000000000001</v>
      </c>
      <c r="W21" s="6">
        <v>0.45</v>
      </c>
      <c r="X21" s="6"/>
      <c r="Y21" s="6">
        <f t="shared" si="0"/>
        <v>0</v>
      </c>
      <c r="Z21" s="6">
        <f t="shared" si="1"/>
        <v>0</v>
      </c>
      <c r="AA21" s="6">
        <f t="shared" si="2"/>
        <v>100</v>
      </c>
      <c r="AB21" s="6">
        <f t="shared" si="3"/>
        <v>40</v>
      </c>
      <c r="AC21" s="6">
        <f t="shared" si="4"/>
        <v>49.999999999999986</v>
      </c>
      <c r="AD21" s="6">
        <f t="shared" si="5"/>
        <v>22.499999999999993</v>
      </c>
      <c r="AE21" s="6">
        <f t="shared" si="6"/>
        <v>60</v>
      </c>
      <c r="AF21" s="6">
        <f t="shared" si="7"/>
        <v>32.400000000000006</v>
      </c>
      <c r="AG21" s="6">
        <f t="shared" si="8"/>
        <v>35</v>
      </c>
      <c r="AH21" s="6">
        <f t="shared" si="9"/>
        <v>19.600000000000001</v>
      </c>
      <c r="AI21" s="6">
        <f t="shared" si="10"/>
        <v>55</v>
      </c>
      <c r="AJ21" s="6">
        <f t="shared" si="11"/>
        <v>29.700000000000003</v>
      </c>
      <c r="AK21" s="6">
        <f t="shared" si="12"/>
        <v>0</v>
      </c>
      <c r="AL21" s="6">
        <f t="shared" si="13"/>
        <v>0</v>
      </c>
      <c r="AM21" s="6"/>
      <c r="AN21" s="6">
        <f t="shared" si="14"/>
        <v>150</v>
      </c>
      <c r="AO21" s="6">
        <f t="shared" si="15"/>
        <v>150</v>
      </c>
      <c r="AP21" s="6">
        <f t="shared" si="16"/>
        <v>19.200000000000024</v>
      </c>
      <c r="AQ21" s="6"/>
      <c r="AR21" s="6">
        <f t="shared" si="18"/>
        <v>19</v>
      </c>
      <c r="AS21" s="6">
        <f t="shared" si="17"/>
        <v>0.45</v>
      </c>
      <c r="AT21" s="6"/>
      <c r="AU21" s="6"/>
      <c r="AV21" s="6"/>
      <c r="BC21" s="10">
        <f t="shared" si="19"/>
        <v>19</v>
      </c>
      <c r="BD21" s="10">
        <v>100</v>
      </c>
      <c r="BE21" s="11">
        <v>0.56999999999999995</v>
      </c>
      <c r="BF21" s="12">
        <v>100</v>
      </c>
      <c r="BG21" s="11">
        <v>0.4</v>
      </c>
      <c r="BH21" s="12">
        <v>75</v>
      </c>
      <c r="BI21" s="11">
        <v>0.45</v>
      </c>
      <c r="BJ21" s="12">
        <v>60</v>
      </c>
      <c r="BK21" s="11">
        <v>0.54</v>
      </c>
      <c r="BL21" s="12">
        <v>35</v>
      </c>
      <c r="BM21" s="11">
        <v>0.56000000000000005</v>
      </c>
      <c r="BN21" s="12">
        <v>55</v>
      </c>
      <c r="BO21" s="11">
        <v>0.54</v>
      </c>
      <c r="BP21" s="12">
        <v>65</v>
      </c>
      <c r="BQ21" s="13">
        <v>0.37</v>
      </c>
      <c r="BR21" s="10">
        <f t="shared" si="20"/>
        <v>19</v>
      </c>
      <c r="BS21" s="25">
        <v>0</v>
      </c>
      <c r="BT21" s="11">
        <v>1</v>
      </c>
      <c r="BU21" s="11">
        <v>0.66666666666666652</v>
      </c>
      <c r="BV21" s="11">
        <v>1</v>
      </c>
      <c r="BW21" s="11">
        <v>1</v>
      </c>
      <c r="BX21" s="11">
        <v>1</v>
      </c>
      <c r="BY21" s="13">
        <v>0</v>
      </c>
      <c r="BZ21" s="27">
        <v>19.20000000000001</v>
      </c>
    </row>
    <row r="22" spans="1:78" x14ac:dyDescent="0.4">
      <c r="A22" s="10">
        <v>90</v>
      </c>
      <c r="B22" s="11">
        <v>0.35</v>
      </c>
      <c r="C22" s="11">
        <v>1</v>
      </c>
      <c r="D22" s="12">
        <v>65</v>
      </c>
      <c r="E22" s="11">
        <v>0.37</v>
      </c>
      <c r="F22" s="11">
        <v>1</v>
      </c>
      <c r="G22" s="12">
        <v>70</v>
      </c>
      <c r="H22" s="11">
        <v>0.44</v>
      </c>
      <c r="I22" s="11">
        <v>0</v>
      </c>
      <c r="J22" s="12">
        <v>40</v>
      </c>
      <c r="K22" s="11">
        <v>0.38</v>
      </c>
      <c r="L22" s="11">
        <v>0</v>
      </c>
      <c r="M22" s="12">
        <v>50</v>
      </c>
      <c r="N22" s="11">
        <v>0.39</v>
      </c>
      <c r="O22" s="11">
        <v>1</v>
      </c>
      <c r="P22" s="12">
        <v>60</v>
      </c>
      <c r="Q22" s="11">
        <v>0.38</v>
      </c>
      <c r="R22" s="11">
        <v>0.66666666666666674</v>
      </c>
      <c r="S22" s="12">
        <v>65</v>
      </c>
      <c r="T22" s="11">
        <v>0.43</v>
      </c>
      <c r="U22" s="13">
        <v>1</v>
      </c>
      <c r="V22" s="6">
        <v>7.100000000000005</v>
      </c>
      <c r="W22" s="6">
        <v>0.38</v>
      </c>
      <c r="X22" s="6"/>
      <c r="Y22" s="6">
        <f t="shared" si="0"/>
        <v>90</v>
      </c>
      <c r="Z22" s="6">
        <f t="shared" si="1"/>
        <v>31.499999999999996</v>
      </c>
      <c r="AA22" s="6">
        <f t="shared" si="2"/>
        <v>65</v>
      </c>
      <c r="AB22" s="6">
        <f t="shared" si="3"/>
        <v>24.05</v>
      </c>
      <c r="AC22" s="6">
        <f t="shared" si="4"/>
        <v>0</v>
      </c>
      <c r="AD22" s="6">
        <f t="shared" si="5"/>
        <v>0</v>
      </c>
      <c r="AE22" s="6">
        <f t="shared" si="6"/>
        <v>0</v>
      </c>
      <c r="AF22" s="6">
        <f t="shared" si="7"/>
        <v>0</v>
      </c>
      <c r="AG22" s="6">
        <f t="shared" si="8"/>
        <v>50</v>
      </c>
      <c r="AH22" s="6">
        <f t="shared" si="9"/>
        <v>19.5</v>
      </c>
      <c r="AI22" s="6">
        <f t="shared" si="10"/>
        <v>40.000000000000007</v>
      </c>
      <c r="AJ22" s="6">
        <f t="shared" si="11"/>
        <v>15.200000000000003</v>
      </c>
      <c r="AK22" s="6">
        <f t="shared" si="12"/>
        <v>65</v>
      </c>
      <c r="AL22" s="6">
        <f t="shared" si="13"/>
        <v>27.95</v>
      </c>
      <c r="AM22" s="6"/>
      <c r="AN22" s="6">
        <f t="shared" si="14"/>
        <v>155</v>
      </c>
      <c r="AO22" s="6">
        <f t="shared" si="15"/>
        <v>155</v>
      </c>
      <c r="AP22" s="6">
        <f t="shared" si="16"/>
        <v>7.1000000000000085</v>
      </c>
      <c r="AQ22" s="6"/>
      <c r="AR22" s="6">
        <f t="shared" si="18"/>
        <v>20</v>
      </c>
      <c r="AS22" s="6">
        <f t="shared" si="17"/>
        <v>0.38</v>
      </c>
      <c r="AT22" s="6"/>
      <c r="AU22" s="6"/>
      <c r="AV22" s="6"/>
      <c r="BC22" s="10">
        <f t="shared" si="19"/>
        <v>20</v>
      </c>
      <c r="BD22" s="10">
        <v>90</v>
      </c>
      <c r="BE22" s="11">
        <v>0.35</v>
      </c>
      <c r="BF22" s="12">
        <v>65</v>
      </c>
      <c r="BG22" s="11">
        <v>0.37</v>
      </c>
      <c r="BH22" s="12">
        <v>70</v>
      </c>
      <c r="BI22" s="11">
        <v>0.44</v>
      </c>
      <c r="BJ22" s="12">
        <v>40</v>
      </c>
      <c r="BK22" s="11">
        <v>0.38</v>
      </c>
      <c r="BL22" s="12">
        <v>50</v>
      </c>
      <c r="BM22" s="11">
        <v>0.39</v>
      </c>
      <c r="BN22" s="12">
        <v>60</v>
      </c>
      <c r="BO22" s="11">
        <v>0.38</v>
      </c>
      <c r="BP22" s="12">
        <v>65</v>
      </c>
      <c r="BQ22" s="13">
        <v>0.43</v>
      </c>
      <c r="BR22" s="10">
        <f t="shared" si="20"/>
        <v>20</v>
      </c>
      <c r="BS22" s="25">
        <v>1</v>
      </c>
      <c r="BT22" s="11">
        <v>1</v>
      </c>
      <c r="BU22" s="11">
        <v>0</v>
      </c>
      <c r="BV22" s="11">
        <v>0</v>
      </c>
      <c r="BW22" s="11">
        <v>1</v>
      </c>
      <c r="BX22" s="11">
        <v>0.66666666666666674</v>
      </c>
      <c r="BY22" s="13">
        <v>1</v>
      </c>
      <c r="BZ22" s="27">
        <v>7.100000000000005</v>
      </c>
    </row>
    <row r="23" spans="1:78" x14ac:dyDescent="0.4">
      <c r="A23" s="10">
        <v>105</v>
      </c>
      <c r="B23" s="11">
        <v>0.5</v>
      </c>
      <c r="C23" s="11">
        <v>0</v>
      </c>
      <c r="D23" s="12">
        <v>110</v>
      </c>
      <c r="E23" s="11">
        <v>0.51</v>
      </c>
      <c r="F23" s="11">
        <v>0</v>
      </c>
      <c r="G23" s="12">
        <v>80</v>
      </c>
      <c r="H23" s="11">
        <v>0.38</v>
      </c>
      <c r="I23" s="11">
        <v>0.8125</v>
      </c>
      <c r="J23" s="12">
        <v>30</v>
      </c>
      <c r="K23" s="11">
        <v>0.37</v>
      </c>
      <c r="L23" s="11">
        <v>0</v>
      </c>
      <c r="M23" s="12">
        <v>45</v>
      </c>
      <c r="N23" s="11">
        <v>0.38</v>
      </c>
      <c r="O23" s="11">
        <v>0</v>
      </c>
      <c r="P23" s="12">
        <v>55</v>
      </c>
      <c r="Q23" s="11">
        <v>0.36</v>
      </c>
      <c r="R23" s="11">
        <v>0</v>
      </c>
      <c r="S23" s="12">
        <v>65</v>
      </c>
      <c r="T23" s="11">
        <v>0.43</v>
      </c>
      <c r="U23" s="13">
        <v>1</v>
      </c>
      <c r="V23" s="6">
        <v>3.25</v>
      </c>
      <c r="W23" s="6">
        <v>0.38</v>
      </c>
      <c r="X23" s="6"/>
      <c r="Y23" s="6">
        <f t="shared" si="0"/>
        <v>0</v>
      </c>
      <c r="Z23" s="6">
        <f t="shared" si="1"/>
        <v>0</v>
      </c>
      <c r="AA23" s="6">
        <f t="shared" si="2"/>
        <v>0</v>
      </c>
      <c r="AB23" s="6">
        <f t="shared" si="3"/>
        <v>0</v>
      </c>
      <c r="AC23" s="6">
        <f t="shared" si="4"/>
        <v>65</v>
      </c>
      <c r="AD23" s="6">
        <f t="shared" si="5"/>
        <v>24.7</v>
      </c>
      <c r="AE23" s="6">
        <f t="shared" si="6"/>
        <v>0</v>
      </c>
      <c r="AF23" s="6">
        <f t="shared" si="7"/>
        <v>0</v>
      </c>
      <c r="AG23" s="6">
        <f t="shared" si="8"/>
        <v>0</v>
      </c>
      <c r="AH23" s="6">
        <f t="shared" si="9"/>
        <v>0</v>
      </c>
      <c r="AI23" s="6">
        <f t="shared" si="10"/>
        <v>0</v>
      </c>
      <c r="AJ23" s="6">
        <f t="shared" si="11"/>
        <v>0</v>
      </c>
      <c r="AK23" s="6">
        <f t="shared" si="12"/>
        <v>65</v>
      </c>
      <c r="AL23" s="6">
        <f t="shared" si="13"/>
        <v>27.95</v>
      </c>
      <c r="AM23" s="6"/>
      <c r="AN23" s="6">
        <f t="shared" si="14"/>
        <v>65</v>
      </c>
      <c r="AO23" s="6">
        <f t="shared" si="15"/>
        <v>65</v>
      </c>
      <c r="AP23" s="6">
        <f t="shared" si="16"/>
        <v>3.25</v>
      </c>
      <c r="AQ23" s="6"/>
      <c r="AR23" s="6">
        <f t="shared" si="18"/>
        <v>21</v>
      </c>
      <c r="AS23" s="6">
        <f t="shared" si="17"/>
        <v>0.38</v>
      </c>
      <c r="AT23" s="6"/>
      <c r="AU23" s="6"/>
      <c r="AV23" s="6"/>
      <c r="BC23" s="10">
        <f t="shared" si="19"/>
        <v>21</v>
      </c>
      <c r="BD23" s="10">
        <v>105</v>
      </c>
      <c r="BE23" s="11">
        <v>0.5</v>
      </c>
      <c r="BF23" s="12">
        <v>110</v>
      </c>
      <c r="BG23" s="11">
        <v>0.51</v>
      </c>
      <c r="BH23" s="12">
        <v>80</v>
      </c>
      <c r="BI23" s="11">
        <v>0.38</v>
      </c>
      <c r="BJ23" s="12">
        <v>30</v>
      </c>
      <c r="BK23" s="11">
        <v>0.37</v>
      </c>
      <c r="BL23" s="12">
        <v>45</v>
      </c>
      <c r="BM23" s="11">
        <v>0.38</v>
      </c>
      <c r="BN23" s="12">
        <v>55</v>
      </c>
      <c r="BO23" s="11">
        <v>0.36</v>
      </c>
      <c r="BP23" s="12">
        <v>65</v>
      </c>
      <c r="BQ23" s="13">
        <v>0.43</v>
      </c>
      <c r="BR23" s="10">
        <f t="shared" si="20"/>
        <v>21</v>
      </c>
      <c r="BS23" s="25">
        <v>0</v>
      </c>
      <c r="BT23" s="11">
        <v>0</v>
      </c>
      <c r="BU23" s="11">
        <v>0.8125</v>
      </c>
      <c r="BV23" s="11">
        <v>0</v>
      </c>
      <c r="BW23" s="11">
        <v>0</v>
      </c>
      <c r="BX23" s="11">
        <v>0</v>
      </c>
      <c r="BY23" s="13">
        <v>1</v>
      </c>
      <c r="BZ23" s="27">
        <v>3.25</v>
      </c>
    </row>
    <row r="24" spans="1:78" x14ac:dyDescent="0.4">
      <c r="A24" s="10">
        <v>130</v>
      </c>
      <c r="B24" s="11">
        <v>0.48</v>
      </c>
      <c r="C24" s="11">
        <v>0</v>
      </c>
      <c r="D24" s="12">
        <v>85</v>
      </c>
      <c r="E24" s="11">
        <v>0.39</v>
      </c>
      <c r="F24" s="11">
        <v>0.11764705882352944</v>
      </c>
      <c r="G24" s="12">
        <v>60</v>
      </c>
      <c r="H24" s="11">
        <v>0.35</v>
      </c>
      <c r="I24" s="11">
        <v>1</v>
      </c>
      <c r="J24" s="12">
        <v>35</v>
      </c>
      <c r="K24" s="11">
        <v>0.39</v>
      </c>
      <c r="L24" s="11">
        <v>0</v>
      </c>
      <c r="M24" s="12">
        <v>45</v>
      </c>
      <c r="N24" s="11">
        <v>0.39</v>
      </c>
      <c r="O24" s="11">
        <v>0</v>
      </c>
      <c r="P24" s="12">
        <v>60</v>
      </c>
      <c r="Q24" s="11">
        <v>0.37</v>
      </c>
      <c r="R24" s="11">
        <v>0</v>
      </c>
      <c r="S24" s="12">
        <v>70</v>
      </c>
      <c r="T24" s="11">
        <v>0.43</v>
      </c>
      <c r="U24" s="13">
        <v>1</v>
      </c>
      <c r="V24" s="6">
        <v>5.1999999999999957</v>
      </c>
      <c r="W24" s="6">
        <v>0.39</v>
      </c>
      <c r="X24" s="6"/>
      <c r="Y24" s="6">
        <f t="shared" si="0"/>
        <v>0</v>
      </c>
      <c r="Z24" s="6">
        <f t="shared" si="1"/>
        <v>0</v>
      </c>
      <c r="AA24" s="6">
        <f t="shared" si="2"/>
        <v>10.000000000000002</v>
      </c>
      <c r="AB24" s="6">
        <f t="shared" si="3"/>
        <v>3.9000000000000008</v>
      </c>
      <c r="AC24" s="6">
        <f t="shared" si="4"/>
        <v>60</v>
      </c>
      <c r="AD24" s="6">
        <f t="shared" si="5"/>
        <v>21</v>
      </c>
      <c r="AE24" s="6">
        <f t="shared" si="6"/>
        <v>0</v>
      </c>
      <c r="AF24" s="6">
        <f t="shared" si="7"/>
        <v>0</v>
      </c>
      <c r="AG24" s="6">
        <f t="shared" si="8"/>
        <v>0</v>
      </c>
      <c r="AH24" s="6">
        <f t="shared" si="9"/>
        <v>0</v>
      </c>
      <c r="AI24" s="6">
        <f t="shared" si="10"/>
        <v>0</v>
      </c>
      <c r="AJ24" s="6">
        <f t="shared" si="11"/>
        <v>0</v>
      </c>
      <c r="AK24" s="6">
        <f t="shared" si="12"/>
        <v>70</v>
      </c>
      <c r="AL24" s="6">
        <f t="shared" si="13"/>
        <v>30.099999999999998</v>
      </c>
      <c r="AM24" s="6"/>
      <c r="AN24" s="6">
        <f t="shared" si="14"/>
        <v>70</v>
      </c>
      <c r="AO24" s="6">
        <f t="shared" si="15"/>
        <v>70</v>
      </c>
      <c r="AP24" s="6">
        <f t="shared" si="16"/>
        <v>5.1999999999999957</v>
      </c>
      <c r="AQ24" s="6"/>
      <c r="AR24" s="6">
        <f t="shared" si="18"/>
        <v>22</v>
      </c>
      <c r="AS24" s="6">
        <f t="shared" si="17"/>
        <v>0.39</v>
      </c>
      <c r="AT24" s="6"/>
      <c r="AU24" s="6"/>
      <c r="AV24" s="6"/>
      <c r="BC24" s="10">
        <f t="shared" si="19"/>
        <v>22</v>
      </c>
      <c r="BD24" s="10">
        <v>130</v>
      </c>
      <c r="BE24" s="11">
        <v>0.48</v>
      </c>
      <c r="BF24" s="12">
        <v>85</v>
      </c>
      <c r="BG24" s="11">
        <v>0.39</v>
      </c>
      <c r="BH24" s="12">
        <v>60</v>
      </c>
      <c r="BI24" s="11">
        <v>0.35</v>
      </c>
      <c r="BJ24" s="12">
        <v>35</v>
      </c>
      <c r="BK24" s="11">
        <v>0.39</v>
      </c>
      <c r="BL24" s="12">
        <v>45</v>
      </c>
      <c r="BM24" s="11">
        <v>0.39</v>
      </c>
      <c r="BN24" s="12">
        <v>60</v>
      </c>
      <c r="BO24" s="11">
        <v>0.37</v>
      </c>
      <c r="BP24" s="12">
        <v>70</v>
      </c>
      <c r="BQ24" s="13">
        <v>0.43</v>
      </c>
      <c r="BR24" s="10">
        <f t="shared" si="20"/>
        <v>22</v>
      </c>
      <c r="BS24" s="25">
        <v>0</v>
      </c>
      <c r="BT24" s="11">
        <v>0.11764705882352944</v>
      </c>
      <c r="BU24" s="11">
        <v>1</v>
      </c>
      <c r="BV24" s="11">
        <v>0</v>
      </c>
      <c r="BW24" s="11">
        <v>0</v>
      </c>
      <c r="BX24" s="11">
        <v>0</v>
      </c>
      <c r="BY24" s="13">
        <v>1</v>
      </c>
      <c r="BZ24" s="27">
        <v>5.1999999999999957</v>
      </c>
    </row>
    <row r="25" spans="1:78" x14ac:dyDescent="0.4">
      <c r="A25" s="14">
        <v>90</v>
      </c>
      <c r="B25" s="15">
        <v>0.37</v>
      </c>
      <c r="C25" s="15">
        <v>0.36666666666666659</v>
      </c>
      <c r="D25" s="16">
        <v>75</v>
      </c>
      <c r="E25" s="15">
        <v>0.37</v>
      </c>
      <c r="F25" s="15">
        <v>1</v>
      </c>
      <c r="G25" s="16">
        <v>60</v>
      </c>
      <c r="H25" s="15">
        <v>0.36</v>
      </c>
      <c r="I25" s="15">
        <v>1</v>
      </c>
      <c r="J25" s="16">
        <v>30</v>
      </c>
      <c r="K25" s="15">
        <v>0.36</v>
      </c>
      <c r="L25" s="15">
        <v>0</v>
      </c>
      <c r="M25" s="16">
        <v>45</v>
      </c>
      <c r="N25" s="15">
        <v>0.42</v>
      </c>
      <c r="O25" s="15">
        <v>1</v>
      </c>
      <c r="P25" s="16">
        <v>55</v>
      </c>
      <c r="Q25" s="15">
        <v>0.42</v>
      </c>
      <c r="R25" s="15">
        <v>1</v>
      </c>
      <c r="S25" s="16">
        <v>68</v>
      </c>
      <c r="T25" s="15">
        <v>0.38</v>
      </c>
      <c r="U25" s="17">
        <v>1</v>
      </c>
      <c r="V25" s="6">
        <v>6.2800000000000082</v>
      </c>
      <c r="W25" s="6">
        <v>0.37</v>
      </c>
      <c r="X25" s="6"/>
      <c r="Y25" s="6">
        <f t="shared" si="0"/>
        <v>32.999999999999993</v>
      </c>
      <c r="Z25" s="6">
        <f t="shared" si="1"/>
        <v>12.209999999999997</v>
      </c>
      <c r="AA25" s="6">
        <f t="shared" si="2"/>
        <v>75</v>
      </c>
      <c r="AB25" s="6">
        <f t="shared" si="3"/>
        <v>27.75</v>
      </c>
      <c r="AC25" s="6">
        <f t="shared" si="4"/>
        <v>60</v>
      </c>
      <c r="AD25" s="6">
        <f t="shared" si="5"/>
        <v>21.599999999999998</v>
      </c>
      <c r="AE25" s="6">
        <f t="shared" si="6"/>
        <v>0</v>
      </c>
      <c r="AF25" s="6">
        <f t="shared" si="7"/>
        <v>0</v>
      </c>
      <c r="AG25" s="6">
        <f t="shared" si="8"/>
        <v>45</v>
      </c>
      <c r="AH25" s="6">
        <f t="shared" si="9"/>
        <v>18.899999999999999</v>
      </c>
      <c r="AI25" s="6">
        <f t="shared" si="10"/>
        <v>55</v>
      </c>
      <c r="AJ25" s="6">
        <f t="shared" si="11"/>
        <v>23.099999999999998</v>
      </c>
      <c r="AK25" s="6">
        <f t="shared" si="12"/>
        <v>68</v>
      </c>
      <c r="AL25" s="6">
        <f t="shared" si="13"/>
        <v>25.84</v>
      </c>
      <c r="AM25" s="6"/>
      <c r="AN25" s="6">
        <f t="shared" si="14"/>
        <v>168</v>
      </c>
      <c r="AO25" s="6">
        <f t="shared" si="15"/>
        <v>168</v>
      </c>
      <c r="AP25" s="6">
        <f t="shared" si="16"/>
        <v>6.2800000000000118</v>
      </c>
      <c r="AQ25" s="6"/>
      <c r="AR25" s="6">
        <f t="shared" si="18"/>
        <v>23</v>
      </c>
      <c r="AS25" s="6">
        <f t="shared" si="17"/>
        <v>0.37</v>
      </c>
      <c r="AT25" s="6"/>
      <c r="AU25" s="6"/>
      <c r="AV25" s="6"/>
      <c r="BC25" s="14">
        <f t="shared" si="19"/>
        <v>23</v>
      </c>
      <c r="BD25" s="14">
        <v>90</v>
      </c>
      <c r="BE25" s="15">
        <v>0.37</v>
      </c>
      <c r="BF25" s="16">
        <v>75</v>
      </c>
      <c r="BG25" s="15">
        <v>0.37</v>
      </c>
      <c r="BH25" s="16">
        <v>60</v>
      </c>
      <c r="BI25" s="15">
        <v>0.36</v>
      </c>
      <c r="BJ25" s="16">
        <v>30</v>
      </c>
      <c r="BK25" s="15">
        <v>0.36</v>
      </c>
      <c r="BL25" s="16">
        <v>45</v>
      </c>
      <c r="BM25" s="15">
        <v>0.42</v>
      </c>
      <c r="BN25" s="16">
        <v>55</v>
      </c>
      <c r="BO25" s="15">
        <v>0.42</v>
      </c>
      <c r="BP25" s="16">
        <v>68</v>
      </c>
      <c r="BQ25" s="17">
        <v>0.38</v>
      </c>
      <c r="BR25" s="14">
        <f t="shared" si="20"/>
        <v>23</v>
      </c>
      <c r="BS25" s="26">
        <v>0.36666666666666659</v>
      </c>
      <c r="BT25" s="15">
        <v>1</v>
      </c>
      <c r="BU25" s="15">
        <v>1</v>
      </c>
      <c r="BV25" s="15">
        <v>0</v>
      </c>
      <c r="BW25" s="15">
        <v>1</v>
      </c>
      <c r="BX25" s="15">
        <v>1</v>
      </c>
      <c r="BY25" s="17">
        <v>1</v>
      </c>
      <c r="BZ25" s="28">
        <v>6.2800000000000082</v>
      </c>
    </row>
    <row r="26" spans="1:78" ht="15.75" x14ac:dyDescent="0.4">
      <c r="AM26" s="3" t="s">
        <v>25</v>
      </c>
      <c r="AN26" s="6">
        <f>SUM(AN2:AN25)</f>
        <v>3127</v>
      </c>
      <c r="AO26" s="6">
        <f t="shared" ref="AO26:AP26" si="21">SUM(AO2:AO25)</f>
        <v>3127</v>
      </c>
      <c r="AP26" s="6">
        <f t="shared" si="21"/>
        <v>248.92000000000004</v>
      </c>
    </row>
  </sheetData>
  <phoneticPr fontId="1" type="noConversion"/>
  <pageMargins left="0.7" right="0.7" top="0.75" bottom="0.75" header="0.3" footer="0.3"/>
  <pageSetup paperSize="9" scale="1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cp:lastPrinted>2024-04-19T13:35:26Z</cp:lastPrinted>
  <dcterms:created xsi:type="dcterms:W3CDTF">2015-06-05T18:19:34Z</dcterms:created>
  <dcterms:modified xsi:type="dcterms:W3CDTF">2024-04-19T13:38:37Z</dcterms:modified>
</cp:coreProperties>
</file>