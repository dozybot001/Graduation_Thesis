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Program Files\Polyspace\R2020b\bin\MatlabCode\"/>
    </mc:Choice>
  </mc:AlternateContent>
  <xr:revisionPtr revIDLastSave="0" documentId="13_ncr:1_{2560648B-EF37-47E3-9CD4-17EAB8455146}" xr6:coauthVersionLast="47" xr6:coauthVersionMax="47" xr10:uidLastSave="{00000000-0000-0000-0000-000000000000}"/>
  <bookViews>
    <workbookView xWindow="-98" yWindow="-98" windowWidth="21795" windowHeight="1309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2" l="1" a="1"/>
  <c r="H8" i="2" s="1"/>
  <c r="H9" i="2" s="1" a="1"/>
  <c r="H9" i="2" s="1"/>
  <c r="H7" i="2" a="1"/>
  <c r="H7" i="2" s="1"/>
  <c r="C10" i="2"/>
  <c r="H4" i="2" a="1"/>
  <c r="H4" i="2" s="1"/>
  <c r="D6" i="2"/>
  <c r="E6" i="2"/>
  <c r="C6" i="2"/>
  <c r="D5" i="2"/>
  <c r="E5" i="2"/>
  <c r="C5" i="2"/>
  <c r="C8" i="2" s="1" a="1"/>
  <c r="C8" i="2" s="1"/>
  <c r="U52" i="1"/>
  <c r="T52" i="1"/>
  <c r="AF52" i="1"/>
  <c r="AE52" i="1"/>
  <c r="AQ52" i="1"/>
  <c r="AP52" i="1"/>
  <c r="AQ78" i="1"/>
  <c r="AP78" i="1"/>
  <c r="AF78" i="1"/>
  <c r="AE78" i="1"/>
  <c r="U78" i="1"/>
  <c r="T78" i="1"/>
  <c r="J52" i="1"/>
  <c r="I52" i="1"/>
  <c r="J78" i="1"/>
  <c r="I78" i="1"/>
  <c r="J26" i="1"/>
  <c r="I26" i="1"/>
  <c r="C9" i="2" l="1" a="1"/>
  <c r="C9" i="2" s="1"/>
  <c r="E10" i="2" l="1"/>
  <c r="D1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<sst xmlns="http://schemas.openxmlformats.org/spreadsheetml/2006/main" count="164" uniqueCount="34">
  <si>
    <t>ss1</t>
    <phoneticPr fontId="1" type="noConversion"/>
  </si>
  <si>
    <t>ss2</t>
    <phoneticPr fontId="1" type="noConversion"/>
  </si>
  <si>
    <t>ss3</t>
    <phoneticPr fontId="1" type="noConversion"/>
  </si>
  <si>
    <t>sb1</t>
    <phoneticPr fontId="1" type="noConversion"/>
  </si>
  <si>
    <t>sb2</t>
    <phoneticPr fontId="1" type="noConversion"/>
  </si>
  <si>
    <t>sb3</t>
    <phoneticPr fontId="1" type="noConversion"/>
  </si>
  <si>
    <t>sb4</t>
    <phoneticPr fontId="1" type="noConversion"/>
  </si>
  <si>
    <t>T</t>
    <phoneticPr fontId="1" type="noConversion"/>
  </si>
  <si>
    <t>dei</t>
    <phoneticPr fontId="1" type="noConversion"/>
  </si>
  <si>
    <t>dqi</t>
    <phoneticPr fontId="1" type="noConversion"/>
  </si>
  <si>
    <t>p</t>
    <phoneticPr fontId="1" type="noConversion"/>
  </si>
  <si>
    <t>sw</t>
    <phoneticPr fontId="1" type="noConversion"/>
  </si>
  <si>
    <t>ε</t>
    <phoneticPr fontId="1" type="noConversion"/>
  </si>
  <si>
    <t>qb</t>
    <phoneticPr fontId="1" type="noConversion"/>
  </si>
  <si>
    <t>IC</t>
    <phoneticPr fontId="1" type="noConversion"/>
  </si>
  <si>
    <r>
      <rPr>
        <sz val="11"/>
        <rFont val="宋体"/>
        <family val="1"/>
        <charset val="134"/>
      </rPr>
      <t>接收数据区</t>
    </r>
    <phoneticPr fontId="1" type="noConversion"/>
  </si>
  <si>
    <r>
      <t>3</t>
    </r>
    <r>
      <rPr>
        <sz val="11"/>
        <rFont val="宋体"/>
        <family val="1"/>
        <charset val="134"/>
      </rPr>
      <t>个售电方</t>
    </r>
    <phoneticPr fontId="1" type="noConversion"/>
  </si>
  <si>
    <t>去1留23</t>
    <phoneticPr fontId="1" type="noConversion"/>
  </si>
  <si>
    <t>去2留13</t>
    <phoneticPr fontId="1" type="noConversion"/>
  </si>
  <si>
    <t>去3留12</t>
    <phoneticPr fontId="1" type="noConversion"/>
  </si>
  <si>
    <t>全</t>
    <phoneticPr fontId="1" type="noConversion"/>
  </si>
  <si>
    <t>二三</t>
    <phoneticPr fontId="1" type="noConversion"/>
  </si>
  <si>
    <t>一三</t>
    <phoneticPr fontId="1" type="noConversion"/>
  </si>
  <si>
    <t>一二</t>
    <phoneticPr fontId="1" type="noConversion"/>
  </si>
  <si>
    <t>一</t>
  </si>
  <si>
    <t>一</t>
    <phoneticPr fontId="1" type="noConversion"/>
  </si>
  <si>
    <t>二</t>
  </si>
  <si>
    <t>二</t>
    <phoneticPr fontId="1" type="noConversion"/>
  </si>
  <si>
    <t>三</t>
  </si>
  <si>
    <t>三</t>
    <phoneticPr fontId="1" type="noConversion"/>
  </si>
  <si>
    <t>ε</t>
  </si>
  <si>
    <t>DC</t>
    <phoneticPr fontId="1" type="noConversion"/>
  </si>
  <si>
    <t>SI</t>
    <phoneticPr fontId="1" type="noConversion"/>
  </si>
  <si>
    <t>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</si>
</sst>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_);[Red]\(0\)"/>
    <numFmt numFmtId="178" formatCode="0.00000000000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Times New Roman"/>
      <family val="1"/>
    </font>
    <font>
      <sz val="11"/>
      <name val="Times New Roman"/>
      <family val="1"/>
    </font>
    <font>
      <sz val="11"/>
      <name val="宋体"/>
      <family val="1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8"/>
  <sheetViews>
    <sheetView topLeftCell="A46" zoomScale="145" zoomScaleNormal="145" workbookViewId="0">
      <selection activeCell="B52" sqref="B52:D52"/>
    </sheetView>
  </sheetViews>
  <sheetFormatPr defaultRowHeight="13.9" x14ac:dyDescent="0.4"/>
  <cols>
    <col min="1" max="1" width="4.06640625" style="4" bestFit="1" customWidth="1"/>
    <col min="2" max="4" width="8.19921875" style="3" bestFit="1" customWidth="1"/>
    <col min="5" max="8" width="6.265625" style="3" bestFit="1" customWidth="1"/>
    <col min="9" max="10" width="12.33203125" style="4" bestFit="1" customWidth="1"/>
    <col min="11" max="11" width="12.33203125" style="2" bestFit="1" customWidth="1"/>
    <col min="12" max="12" width="4.06640625" style="2" bestFit="1" customWidth="1"/>
    <col min="13" max="13" width="6.265625" style="2" bestFit="1" customWidth="1"/>
    <col min="14" max="15" width="8.19921875" style="2" bestFit="1" customWidth="1"/>
    <col min="16" max="20" width="6.265625" style="2" bestFit="1" customWidth="1"/>
    <col min="21" max="22" width="12.33203125" style="2" bestFit="1" customWidth="1"/>
    <col min="23" max="23" width="4.06640625" style="2" bestFit="1" customWidth="1"/>
    <col min="24" max="24" width="8.19921875" style="2" bestFit="1" customWidth="1"/>
    <col min="25" max="25" width="6.265625" style="2" bestFit="1" customWidth="1"/>
    <col min="26" max="26" width="8.19921875" style="2" bestFit="1" customWidth="1"/>
    <col min="27" max="30" width="6.265625" style="2" bestFit="1" customWidth="1"/>
    <col min="31" max="33" width="12.33203125" style="2" bestFit="1" customWidth="1"/>
    <col min="34" max="34" width="4.06640625" style="2" bestFit="1" customWidth="1"/>
    <col min="35" max="36" width="8.19921875" style="2" bestFit="1" customWidth="1"/>
    <col min="37" max="41" width="6.265625" style="2" bestFit="1" customWidth="1"/>
    <col min="42" max="44" width="12.33203125" style="2" bestFit="1" customWidth="1"/>
    <col min="45" max="16384" width="9.06640625" style="2"/>
  </cols>
  <sheetData>
    <row r="1" spans="1:11" s="1" customFormat="1" ht="15" x14ac:dyDescent="0.4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11</v>
      </c>
      <c r="J1" s="1" t="s">
        <v>13</v>
      </c>
      <c r="K1" s="1" t="s">
        <v>12</v>
      </c>
    </row>
    <row r="2" spans="1:11" x14ac:dyDescent="0.4">
      <c r="A2" s="2">
        <v>0</v>
      </c>
      <c r="B2" s="3">
        <v>0</v>
      </c>
      <c r="C2" s="3">
        <v>4.8543689320388328E-2</v>
      </c>
      <c r="D2" s="3">
        <v>1</v>
      </c>
      <c r="E2" s="3">
        <v>0</v>
      </c>
      <c r="F2" s="3">
        <v>0</v>
      </c>
      <c r="G2" s="3">
        <v>0</v>
      </c>
      <c r="H2" s="3">
        <v>1</v>
      </c>
      <c r="I2" s="2">
        <v>3.1000000000000014</v>
      </c>
      <c r="J2" s="2">
        <v>51.676540899392791</v>
      </c>
      <c r="K2" s="2">
        <v>0</v>
      </c>
    </row>
    <row r="3" spans="1:11" ht="15" x14ac:dyDescent="0.4">
      <c r="A3" s="2">
        <v>1</v>
      </c>
      <c r="B3" s="3">
        <v>0</v>
      </c>
      <c r="C3" s="3">
        <v>0.96666666666666667</v>
      </c>
      <c r="D3" s="3">
        <v>1</v>
      </c>
      <c r="E3" s="3">
        <v>1</v>
      </c>
      <c r="F3" s="3">
        <v>0</v>
      </c>
      <c r="G3" s="3">
        <v>1</v>
      </c>
      <c r="H3" s="3">
        <v>1</v>
      </c>
      <c r="I3" s="2">
        <v>10.119999999999997</v>
      </c>
      <c r="J3" s="2">
        <v>122.19295158863193</v>
      </c>
      <c r="K3" s="1" t="s">
        <v>10</v>
      </c>
    </row>
    <row r="4" spans="1:11" x14ac:dyDescent="0.4">
      <c r="A4" s="2">
        <v>2</v>
      </c>
      <c r="B4" s="3">
        <v>0</v>
      </c>
      <c r="C4" s="3">
        <v>0</v>
      </c>
      <c r="D4" s="3">
        <v>1</v>
      </c>
      <c r="E4" s="3">
        <v>1</v>
      </c>
      <c r="F4" s="3">
        <v>0</v>
      </c>
      <c r="G4" s="3">
        <v>0</v>
      </c>
      <c r="H4" s="3">
        <v>0.34666666666666668</v>
      </c>
      <c r="I4" s="2">
        <v>2.139999999999997</v>
      </c>
      <c r="J4" s="2">
        <v>36.620083068067714</v>
      </c>
      <c r="K4" s="2">
        <v>2199</v>
      </c>
    </row>
    <row r="5" spans="1:11" ht="15" x14ac:dyDescent="0.4">
      <c r="A5" s="2">
        <v>3</v>
      </c>
      <c r="B5" s="3">
        <v>0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4.6153846153846212E-2</v>
      </c>
      <c r="I5" s="2">
        <v>6.4400000000000048</v>
      </c>
      <c r="J5" s="2">
        <v>87.799115333451624</v>
      </c>
      <c r="K5" s="1" t="s">
        <v>8</v>
      </c>
    </row>
    <row r="6" spans="1:11" x14ac:dyDescent="0.4">
      <c r="A6" s="2">
        <v>4</v>
      </c>
      <c r="B6" s="3">
        <v>0</v>
      </c>
      <c r="C6" s="3">
        <v>0.77777777777777779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2">
        <v>2.0999999999999979</v>
      </c>
      <c r="J6" s="2">
        <v>45.044100269676605</v>
      </c>
      <c r="K6" s="2">
        <v>8.9458844929513406E-2</v>
      </c>
    </row>
    <row r="7" spans="1:11" ht="15" x14ac:dyDescent="0.4">
      <c r="A7" s="2">
        <v>5</v>
      </c>
      <c r="B7" s="3">
        <v>0</v>
      </c>
      <c r="C7" s="3">
        <v>1</v>
      </c>
      <c r="D7" s="3">
        <v>0</v>
      </c>
      <c r="E7" s="3">
        <v>0</v>
      </c>
      <c r="F7" s="3">
        <v>0</v>
      </c>
      <c r="G7" s="3">
        <v>0</v>
      </c>
      <c r="H7" s="3">
        <v>0.88888888888888895</v>
      </c>
      <c r="I7" s="2">
        <v>6.4000000000000057</v>
      </c>
      <c r="J7" s="2">
        <v>42.829737569930899</v>
      </c>
      <c r="K7" s="1" t="s">
        <v>9</v>
      </c>
    </row>
    <row r="8" spans="1:11" x14ac:dyDescent="0.4">
      <c r="A8" s="2">
        <v>6</v>
      </c>
      <c r="B8" s="3">
        <v>0</v>
      </c>
      <c r="C8" s="3">
        <v>1</v>
      </c>
      <c r="D8" s="3">
        <v>0</v>
      </c>
      <c r="E8" s="3">
        <v>1</v>
      </c>
      <c r="F8" s="3">
        <v>0</v>
      </c>
      <c r="G8" s="3">
        <v>0</v>
      </c>
      <c r="H8" s="3">
        <v>0.4375</v>
      </c>
      <c r="I8" s="2">
        <v>10.150000000000002</v>
      </c>
      <c r="J8" s="2">
        <v>49.205769422303497</v>
      </c>
      <c r="K8" s="2">
        <v>0.64121041852508476</v>
      </c>
    </row>
    <row r="9" spans="1:11" x14ac:dyDescent="0.4">
      <c r="A9" s="2">
        <v>7</v>
      </c>
      <c r="B9" s="3">
        <v>0</v>
      </c>
      <c r="C9" s="3">
        <v>1</v>
      </c>
      <c r="D9" s="3">
        <v>1</v>
      </c>
      <c r="E9" s="3">
        <v>1</v>
      </c>
      <c r="F9" s="3">
        <v>0</v>
      </c>
      <c r="G9" s="3">
        <v>0.3285714285714284</v>
      </c>
      <c r="H9" s="3">
        <v>1</v>
      </c>
      <c r="I9" s="2">
        <v>13.469999999999992</v>
      </c>
      <c r="J9" s="2">
        <v>100.19296604112853</v>
      </c>
      <c r="K9" s="12" t="s">
        <v>15</v>
      </c>
    </row>
    <row r="10" spans="1:11" x14ac:dyDescent="0.4">
      <c r="A10" s="2">
        <v>8</v>
      </c>
      <c r="B10" s="3">
        <v>0</v>
      </c>
      <c r="C10" s="3">
        <v>1</v>
      </c>
      <c r="D10" s="3">
        <v>0</v>
      </c>
      <c r="E10" s="3">
        <v>0</v>
      </c>
      <c r="F10" s="3">
        <v>1</v>
      </c>
      <c r="G10" s="3">
        <v>0</v>
      </c>
      <c r="H10" s="3">
        <v>8.333333333333337E-2</v>
      </c>
      <c r="I10" s="2">
        <v>3.9500000000000011</v>
      </c>
      <c r="J10" s="2">
        <v>30.432777250991808</v>
      </c>
      <c r="K10" s="12"/>
    </row>
    <row r="11" spans="1:11" x14ac:dyDescent="0.4">
      <c r="A11" s="2">
        <v>9</v>
      </c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5.8823529411764608E-2</v>
      </c>
      <c r="I11" s="2">
        <v>5.1499999999999932</v>
      </c>
      <c r="J11" s="2">
        <v>31.989007833450742</v>
      </c>
      <c r="K11" s="12"/>
    </row>
    <row r="12" spans="1:11" x14ac:dyDescent="0.4">
      <c r="A12" s="2">
        <v>10</v>
      </c>
      <c r="B12" s="3">
        <v>0</v>
      </c>
      <c r="C12" s="3">
        <v>1</v>
      </c>
      <c r="D12" s="3">
        <v>1</v>
      </c>
      <c r="E12" s="3">
        <v>1</v>
      </c>
      <c r="F12" s="3">
        <v>0.63636363636363646</v>
      </c>
      <c r="G12" s="3">
        <v>0</v>
      </c>
      <c r="H12" s="3">
        <v>1</v>
      </c>
      <c r="I12" s="2">
        <v>17.000000000000004</v>
      </c>
      <c r="J12" s="2">
        <v>66.370204212131853</v>
      </c>
      <c r="K12" s="12"/>
    </row>
    <row r="13" spans="1:11" x14ac:dyDescent="0.4">
      <c r="A13" s="2">
        <v>11</v>
      </c>
      <c r="B13" s="3">
        <v>0</v>
      </c>
      <c r="C13" s="3">
        <v>1</v>
      </c>
      <c r="D13" s="3">
        <v>0</v>
      </c>
      <c r="E13" s="3">
        <v>0.4285714285714286</v>
      </c>
      <c r="F13" s="3">
        <v>0</v>
      </c>
      <c r="G13" s="3">
        <v>0</v>
      </c>
      <c r="H13" s="3">
        <v>1</v>
      </c>
      <c r="I13" s="2">
        <v>11.249999999999998</v>
      </c>
      <c r="J13" s="2">
        <v>45.476281756890593</v>
      </c>
      <c r="K13" s="12"/>
    </row>
    <row r="14" spans="1:11" x14ac:dyDescent="0.4">
      <c r="A14" s="2">
        <v>12</v>
      </c>
      <c r="B14" s="3">
        <v>0</v>
      </c>
      <c r="C14" s="3">
        <v>1</v>
      </c>
      <c r="D14" s="3">
        <v>1</v>
      </c>
      <c r="E14" s="3">
        <v>1</v>
      </c>
      <c r="F14" s="3">
        <v>0</v>
      </c>
      <c r="G14" s="3">
        <v>1</v>
      </c>
      <c r="H14" s="3">
        <v>0.57142857142857129</v>
      </c>
      <c r="I14" s="2">
        <v>22.3</v>
      </c>
      <c r="J14" s="2">
        <v>83.764043275608074</v>
      </c>
      <c r="K14" s="12"/>
    </row>
    <row r="15" spans="1:11" x14ac:dyDescent="0.4">
      <c r="A15" s="2">
        <v>13</v>
      </c>
      <c r="B15" s="3">
        <v>0</v>
      </c>
      <c r="C15" s="3">
        <v>0.625</v>
      </c>
      <c r="D15" s="3">
        <v>1</v>
      </c>
      <c r="E15" s="3">
        <v>1</v>
      </c>
      <c r="F15" s="3">
        <v>0</v>
      </c>
      <c r="G15" s="3">
        <v>0</v>
      </c>
      <c r="H15" s="3">
        <v>1</v>
      </c>
      <c r="I15" s="2">
        <v>13.399999999999991</v>
      </c>
      <c r="J15" s="2">
        <v>68.927703189141326</v>
      </c>
      <c r="K15" s="12"/>
    </row>
    <row r="16" spans="1:11" x14ac:dyDescent="0.4">
      <c r="A16" s="2">
        <v>14</v>
      </c>
      <c r="B16" s="3">
        <v>0</v>
      </c>
      <c r="C16" s="3">
        <v>0.15000000000000002</v>
      </c>
      <c r="D16" s="3">
        <v>1</v>
      </c>
      <c r="E16" s="3">
        <v>0</v>
      </c>
      <c r="F16" s="3">
        <v>0</v>
      </c>
      <c r="G16" s="3">
        <v>0</v>
      </c>
      <c r="H16" s="3">
        <v>1</v>
      </c>
      <c r="I16" s="2">
        <v>8.25</v>
      </c>
      <c r="J16" s="2">
        <v>56.384109936816188</v>
      </c>
      <c r="K16" s="12"/>
    </row>
    <row r="17" spans="1:44" x14ac:dyDescent="0.4">
      <c r="A17" s="2">
        <v>15</v>
      </c>
      <c r="B17" s="3">
        <v>0</v>
      </c>
      <c r="C17" s="3">
        <v>1</v>
      </c>
      <c r="D17" s="3">
        <v>0</v>
      </c>
      <c r="E17" s="3">
        <v>0</v>
      </c>
      <c r="F17" s="3">
        <v>0</v>
      </c>
      <c r="G17" s="3">
        <v>0.41666666666666674</v>
      </c>
      <c r="H17" s="3">
        <v>1</v>
      </c>
      <c r="I17" s="2">
        <v>7.9000000000000092</v>
      </c>
      <c r="J17" s="2">
        <v>39.865352230316716</v>
      </c>
      <c r="K17" s="12"/>
    </row>
    <row r="18" spans="1:44" x14ac:dyDescent="0.4">
      <c r="A18" s="2">
        <v>16</v>
      </c>
      <c r="B18" s="3">
        <v>0</v>
      </c>
      <c r="C18" s="3">
        <v>1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2">
        <v>2.6000000000000014</v>
      </c>
      <c r="J18" s="2">
        <v>39.251924100444306</v>
      </c>
      <c r="K18" s="12"/>
    </row>
    <row r="19" spans="1:44" x14ac:dyDescent="0.4">
      <c r="A19" s="2">
        <v>17</v>
      </c>
      <c r="B19" s="3">
        <v>0</v>
      </c>
      <c r="C19" s="3">
        <v>1</v>
      </c>
      <c r="D19" s="3">
        <v>0</v>
      </c>
      <c r="E19" s="3">
        <v>0</v>
      </c>
      <c r="F19" s="3">
        <v>1</v>
      </c>
      <c r="G19" s="3">
        <v>0</v>
      </c>
      <c r="H19" s="3">
        <v>0.30769230769230771</v>
      </c>
      <c r="I19" s="2">
        <v>6.35</v>
      </c>
      <c r="J19" s="2">
        <v>38.347094229552177</v>
      </c>
      <c r="K19" s="12"/>
    </row>
    <row r="20" spans="1:44" x14ac:dyDescent="0.4">
      <c r="A20" s="2">
        <v>18</v>
      </c>
      <c r="B20" s="3">
        <v>0</v>
      </c>
      <c r="C20" s="3">
        <v>1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2">
        <v>7.1499999999999986</v>
      </c>
      <c r="J20" s="2">
        <v>41.991343804575763</v>
      </c>
      <c r="K20" s="12"/>
    </row>
    <row r="21" spans="1:44" x14ac:dyDescent="0.4">
      <c r="A21" s="2">
        <v>19</v>
      </c>
      <c r="B21" s="3">
        <v>0</v>
      </c>
      <c r="C21" s="3">
        <v>1</v>
      </c>
      <c r="D21" s="3">
        <v>0.66666666666666652</v>
      </c>
      <c r="E21" s="3">
        <v>1</v>
      </c>
      <c r="F21" s="3">
        <v>1</v>
      </c>
      <c r="G21" s="3">
        <v>1</v>
      </c>
      <c r="H21" s="3">
        <v>0</v>
      </c>
      <c r="I21" s="2">
        <v>19.20000000000001</v>
      </c>
      <c r="J21" s="2">
        <v>95.662076780074997</v>
      </c>
      <c r="K21" s="12"/>
    </row>
    <row r="22" spans="1:44" x14ac:dyDescent="0.4">
      <c r="A22" s="2">
        <v>20</v>
      </c>
      <c r="B22" s="3">
        <v>0</v>
      </c>
      <c r="C22" s="3">
        <v>1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2">
        <v>3.8999999999999986</v>
      </c>
      <c r="J22" s="2">
        <v>34.294780537391034</v>
      </c>
      <c r="K22" s="12"/>
    </row>
    <row r="23" spans="1:44" x14ac:dyDescent="0.4">
      <c r="A23" s="2">
        <v>21</v>
      </c>
      <c r="B23" s="3">
        <v>0</v>
      </c>
      <c r="C23" s="3">
        <v>0</v>
      </c>
      <c r="D23" s="3">
        <v>0.8125</v>
      </c>
      <c r="E23" s="3">
        <v>0</v>
      </c>
      <c r="F23" s="3">
        <v>0</v>
      </c>
      <c r="G23" s="3">
        <v>0</v>
      </c>
      <c r="H23" s="3">
        <v>1</v>
      </c>
      <c r="I23" s="2">
        <v>3.25</v>
      </c>
      <c r="J23" s="2">
        <v>60.563471956013281</v>
      </c>
      <c r="K23" s="12"/>
    </row>
    <row r="24" spans="1:44" x14ac:dyDescent="0.4">
      <c r="A24" s="2">
        <v>22</v>
      </c>
      <c r="B24" s="3">
        <v>0</v>
      </c>
      <c r="C24" s="3">
        <v>0.11764705882352944</v>
      </c>
      <c r="D24" s="3">
        <v>1</v>
      </c>
      <c r="E24" s="3">
        <v>0</v>
      </c>
      <c r="F24" s="3">
        <v>0</v>
      </c>
      <c r="G24" s="3">
        <v>0</v>
      </c>
      <c r="H24" s="3">
        <v>1</v>
      </c>
      <c r="I24" s="2">
        <v>5.1999999999999957</v>
      </c>
      <c r="J24" s="2">
        <v>44.084509691989595</v>
      </c>
      <c r="K24" s="12"/>
    </row>
    <row r="25" spans="1:44" x14ac:dyDescent="0.4">
      <c r="A25" s="2">
        <v>23</v>
      </c>
      <c r="B25" s="3">
        <v>0</v>
      </c>
      <c r="C25" s="3">
        <v>1</v>
      </c>
      <c r="D25" s="3">
        <v>1</v>
      </c>
      <c r="E25" s="3">
        <v>0</v>
      </c>
      <c r="F25" s="3">
        <v>1</v>
      </c>
      <c r="G25" s="3">
        <v>1</v>
      </c>
      <c r="H25" s="3">
        <v>0.51470588235294112</v>
      </c>
      <c r="I25" s="2">
        <v>5.9500000000000011</v>
      </c>
      <c r="J25" s="2">
        <v>97.055765358689357</v>
      </c>
      <c r="K25" s="12"/>
    </row>
    <row r="26" spans="1:44" ht="15" x14ac:dyDescent="0.4">
      <c r="A26" s="1" t="s">
        <v>14</v>
      </c>
      <c r="B26" s="3">
        <v>0</v>
      </c>
      <c r="C26" s="3">
        <v>514.99</v>
      </c>
      <c r="D26" s="3">
        <v>305.15000000000003</v>
      </c>
      <c r="I26" s="4">
        <f>SUM(I2:I25)</f>
        <v>196.71999999999997</v>
      </c>
      <c r="J26" s="4">
        <f>SUM(J2:J25)</f>
        <v>1410.0217103366613</v>
      </c>
      <c r="K26" s="12"/>
    </row>
    <row r="27" spans="1:44" ht="15" x14ac:dyDescent="0.4">
      <c r="A27" s="1" t="s">
        <v>7</v>
      </c>
      <c r="B27" s="1" t="s">
        <v>0</v>
      </c>
      <c r="C27" s="1" t="s">
        <v>1</v>
      </c>
      <c r="D27" s="1" t="s">
        <v>2</v>
      </c>
      <c r="E27" s="1" t="s">
        <v>3</v>
      </c>
      <c r="F27" s="1" t="s">
        <v>4</v>
      </c>
      <c r="G27" s="1" t="s">
        <v>5</v>
      </c>
      <c r="H27" s="1" t="s">
        <v>6</v>
      </c>
      <c r="I27" s="1" t="s">
        <v>11</v>
      </c>
      <c r="J27" s="1" t="s">
        <v>13</v>
      </c>
      <c r="K27" s="1" t="s">
        <v>12</v>
      </c>
      <c r="L27" s="1" t="s">
        <v>7</v>
      </c>
      <c r="M27" s="1" t="s">
        <v>0</v>
      </c>
      <c r="N27" s="1" t="s">
        <v>1</v>
      </c>
      <c r="O27" s="1" t="s">
        <v>2</v>
      </c>
      <c r="P27" s="1" t="s">
        <v>3</v>
      </c>
      <c r="Q27" s="1" t="s">
        <v>4</v>
      </c>
      <c r="R27" s="1" t="s">
        <v>5</v>
      </c>
      <c r="S27" s="1" t="s">
        <v>6</v>
      </c>
      <c r="T27" s="1" t="s">
        <v>11</v>
      </c>
      <c r="U27" s="1" t="s">
        <v>13</v>
      </c>
      <c r="V27" s="1" t="s">
        <v>12</v>
      </c>
      <c r="W27" s="1" t="s">
        <v>7</v>
      </c>
      <c r="X27" s="1" t="s">
        <v>0</v>
      </c>
      <c r="Y27" s="1" t="s">
        <v>1</v>
      </c>
      <c r="Z27" s="1" t="s">
        <v>2</v>
      </c>
      <c r="AA27" s="1" t="s">
        <v>3</v>
      </c>
      <c r="AB27" s="1" t="s">
        <v>4</v>
      </c>
      <c r="AC27" s="1" t="s">
        <v>5</v>
      </c>
      <c r="AD27" s="1" t="s">
        <v>6</v>
      </c>
      <c r="AE27" s="1" t="s">
        <v>11</v>
      </c>
      <c r="AF27" s="1" t="s">
        <v>13</v>
      </c>
      <c r="AG27" s="1" t="s">
        <v>12</v>
      </c>
      <c r="AH27" s="1" t="s">
        <v>7</v>
      </c>
      <c r="AI27" s="1" t="s">
        <v>0</v>
      </c>
      <c r="AJ27" s="1" t="s">
        <v>1</v>
      </c>
      <c r="AK27" s="1" t="s">
        <v>2</v>
      </c>
      <c r="AL27" s="1" t="s">
        <v>3</v>
      </c>
      <c r="AM27" s="1" t="s">
        <v>4</v>
      </c>
      <c r="AN27" s="1" t="s">
        <v>5</v>
      </c>
      <c r="AO27" s="1" t="s">
        <v>6</v>
      </c>
      <c r="AP27" s="1" t="s">
        <v>11</v>
      </c>
      <c r="AQ27" s="1" t="s">
        <v>13</v>
      </c>
      <c r="AR27" s="1" t="s">
        <v>12</v>
      </c>
    </row>
    <row r="28" spans="1:44" x14ac:dyDescent="0.4">
      <c r="A28" s="2">
        <v>0</v>
      </c>
      <c r="B28" s="3">
        <v>0</v>
      </c>
      <c r="C28" s="3">
        <v>4.8543689320388328E-2</v>
      </c>
      <c r="D28" s="3">
        <v>1</v>
      </c>
      <c r="E28" s="3">
        <v>0</v>
      </c>
      <c r="F28" s="3">
        <v>0</v>
      </c>
      <c r="G28" s="3">
        <v>0</v>
      </c>
      <c r="H28" s="3">
        <v>1</v>
      </c>
      <c r="I28" s="2">
        <v>3.1000000000000014</v>
      </c>
      <c r="J28" s="2">
        <v>51.676540899392791</v>
      </c>
      <c r="K28" s="2">
        <v>0</v>
      </c>
      <c r="L28" s="2">
        <v>0</v>
      </c>
      <c r="M28" s="3">
        <v>0</v>
      </c>
      <c r="N28" s="3">
        <v>4.8543689320388328E-2</v>
      </c>
      <c r="O28" s="3">
        <v>1</v>
      </c>
      <c r="P28" s="3">
        <v>0</v>
      </c>
      <c r="Q28" s="3">
        <v>0</v>
      </c>
      <c r="R28" s="3">
        <v>0</v>
      </c>
      <c r="S28" s="3">
        <v>1</v>
      </c>
      <c r="T28" s="2">
        <v>3.1000000000000014</v>
      </c>
      <c r="U28" s="2">
        <v>51.676540899392791</v>
      </c>
      <c r="V28" s="2">
        <v>0</v>
      </c>
      <c r="W28" s="2">
        <v>0</v>
      </c>
      <c r="X28" s="3">
        <v>0</v>
      </c>
      <c r="Y28" s="3">
        <v>0</v>
      </c>
      <c r="Z28" s="3">
        <v>1</v>
      </c>
      <c r="AA28" s="3">
        <v>0</v>
      </c>
      <c r="AB28" s="3">
        <v>0</v>
      </c>
      <c r="AC28" s="3">
        <v>0</v>
      </c>
      <c r="AD28" s="3">
        <v>0.92307692307692313</v>
      </c>
      <c r="AE28" s="2">
        <v>3</v>
      </c>
      <c r="AF28" s="2">
        <v>48.3615940142369</v>
      </c>
      <c r="AG28" s="2">
        <v>0</v>
      </c>
      <c r="AH28" s="2">
        <v>0</v>
      </c>
      <c r="AI28" s="3">
        <v>0</v>
      </c>
      <c r="AJ28" s="3">
        <v>0.63106796116504849</v>
      </c>
      <c r="AK28" s="3">
        <v>0</v>
      </c>
      <c r="AL28" s="3">
        <v>0</v>
      </c>
      <c r="AM28" s="3">
        <v>0</v>
      </c>
      <c r="AN28" s="3">
        <v>0</v>
      </c>
      <c r="AO28" s="3">
        <v>1</v>
      </c>
      <c r="AP28" s="2">
        <v>1.3000000000000007</v>
      </c>
      <c r="AQ28" s="2">
        <v>43.09430950702663</v>
      </c>
      <c r="AR28" s="2">
        <v>0</v>
      </c>
    </row>
    <row r="29" spans="1:44" ht="15" x14ac:dyDescent="0.4">
      <c r="A29" s="2">
        <v>1</v>
      </c>
      <c r="B29" s="3">
        <v>1</v>
      </c>
      <c r="C29" s="3">
        <v>0</v>
      </c>
      <c r="D29" s="3">
        <v>1</v>
      </c>
      <c r="E29" s="3">
        <v>1</v>
      </c>
      <c r="F29" s="3">
        <v>0.73333333333333361</v>
      </c>
      <c r="G29" s="3">
        <v>1</v>
      </c>
      <c r="H29" s="3">
        <v>1</v>
      </c>
      <c r="I29" s="2">
        <v>13.719999999999999</v>
      </c>
      <c r="J29" s="2">
        <v>124.31104257748757</v>
      </c>
      <c r="K29" s="1" t="s">
        <v>10</v>
      </c>
      <c r="L29" s="2">
        <v>1</v>
      </c>
      <c r="M29" s="3">
        <v>0</v>
      </c>
      <c r="N29" s="3">
        <v>0.96666666666666667</v>
      </c>
      <c r="O29" s="3">
        <v>1</v>
      </c>
      <c r="P29" s="3">
        <v>1</v>
      </c>
      <c r="Q29" s="3">
        <v>0</v>
      </c>
      <c r="R29" s="3">
        <v>1</v>
      </c>
      <c r="S29" s="3">
        <v>1</v>
      </c>
      <c r="T29" s="2">
        <v>10.119999999999997</v>
      </c>
      <c r="U29" s="2">
        <v>122.19295158863193</v>
      </c>
      <c r="V29" s="1" t="s">
        <v>10</v>
      </c>
      <c r="W29" s="2">
        <v>1</v>
      </c>
      <c r="X29" s="3">
        <v>1</v>
      </c>
      <c r="Y29" s="3">
        <v>0</v>
      </c>
      <c r="Z29" s="3">
        <v>1</v>
      </c>
      <c r="AA29" s="3">
        <v>1</v>
      </c>
      <c r="AB29" s="3">
        <v>0.73333333333333361</v>
      </c>
      <c r="AC29" s="3">
        <v>1</v>
      </c>
      <c r="AD29" s="3">
        <v>1</v>
      </c>
      <c r="AE29" s="2">
        <v>13.719999999999999</v>
      </c>
      <c r="AF29" s="2">
        <v>124.31104257748757</v>
      </c>
      <c r="AG29" s="1" t="s">
        <v>10</v>
      </c>
      <c r="AH29" s="2">
        <v>1</v>
      </c>
      <c r="AI29" s="3">
        <v>1</v>
      </c>
      <c r="AJ29" s="3">
        <v>0.45555555555555549</v>
      </c>
      <c r="AK29" s="3">
        <v>0</v>
      </c>
      <c r="AL29" s="3">
        <v>1</v>
      </c>
      <c r="AM29" s="3">
        <v>0</v>
      </c>
      <c r="AN29" s="3">
        <v>1</v>
      </c>
      <c r="AO29" s="3">
        <v>1</v>
      </c>
      <c r="AP29" s="2">
        <v>11.5</v>
      </c>
      <c r="AQ29" s="2">
        <v>93.966961515804257</v>
      </c>
      <c r="AR29" s="1" t="s">
        <v>10</v>
      </c>
    </row>
    <row r="30" spans="1:44" x14ac:dyDescent="0.4">
      <c r="A30" s="2">
        <v>2</v>
      </c>
      <c r="B30" s="3">
        <v>1</v>
      </c>
      <c r="C30" s="3">
        <v>0</v>
      </c>
      <c r="D30" s="3">
        <v>0</v>
      </c>
      <c r="E30" s="3">
        <v>1</v>
      </c>
      <c r="F30" s="3">
        <v>0.14999999999999991</v>
      </c>
      <c r="G30" s="3">
        <v>0</v>
      </c>
      <c r="H30" s="3">
        <v>1</v>
      </c>
      <c r="I30" s="2">
        <v>5.9099999999999966</v>
      </c>
      <c r="J30" s="2">
        <v>14.790761098458043</v>
      </c>
      <c r="K30" s="2">
        <v>3127</v>
      </c>
      <c r="L30" s="2">
        <v>2</v>
      </c>
      <c r="M30" s="3">
        <v>0</v>
      </c>
      <c r="N30" s="3">
        <v>0</v>
      </c>
      <c r="O30" s="3">
        <v>1</v>
      </c>
      <c r="P30" s="3">
        <v>1</v>
      </c>
      <c r="Q30" s="3">
        <v>0</v>
      </c>
      <c r="R30" s="3">
        <v>0</v>
      </c>
      <c r="S30" s="3">
        <v>0.34666666666666668</v>
      </c>
      <c r="T30" s="2">
        <v>2.139999999999997</v>
      </c>
      <c r="U30" s="2">
        <v>36.620083068067714</v>
      </c>
      <c r="V30" s="2">
        <v>2199</v>
      </c>
      <c r="W30" s="2">
        <v>2</v>
      </c>
      <c r="X30" s="3">
        <v>1</v>
      </c>
      <c r="Y30" s="3">
        <v>0</v>
      </c>
      <c r="Z30" s="3">
        <v>0</v>
      </c>
      <c r="AA30" s="3">
        <v>1</v>
      </c>
      <c r="AB30" s="3">
        <v>0.14999999999999991</v>
      </c>
      <c r="AC30" s="3">
        <v>0</v>
      </c>
      <c r="AD30" s="3">
        <v>1</v>
      </c>
      <c r="AE30" s="2">
        <v>5.9099999999999966</v>
      </c>
      <c r="AF30" s="2">
        <v>14.790761098458043</v>
      </c>
      <c r="AG30" s="2">
        <v>2536</v>
      </c>
      <c r="AH30" s="2">
        <v>2</v>
      </c>
      <c r="AI30" s="3">
        <v>1</v>
      </c>
      <c r="AJ30" s="3">
        <v>0</v>
      </c>
      <c r="AK30" s="3">
        <v>0</v>
      </c>
      <c r="AL30" s="3">
        <v>1</v>
      </c>
      <c r="AM30" s="3">
        <v>0.14999999999999991</v>
      </c>
      <c r="AN30" s="3">
        <v>0</v>
      </c>
      <c r="AO30" s="3">
        <v>1</v>
      </c>
      <c r="AP30" s="2">
        <v>5.9099999999999966</v>
      </c>
      <c r="AQ30" s="2">
        <v>14.790761098458043</v>
      </c>
      <c r="AR30" s="2">
        <v>2896</v>
      </c>
    </row>
    <row r="31" spans="1:44" ht="15" x14ac:dyDescent="0.4">
      <c r="A31" s="2">
        <v>3</v>
      </c>
      <c r="B31" s="3">
        <v>1</v>
      </c>
      <c r="C31" s="3">
        <v>1</v>
      </c>
      <c r="D31" s="3">
        <v>0.19999999999999996</v>
      </c>
      <c r="E31" s="3">
        <v>1</v>
      </c>
      <c r="F31" s="3">
        <v>1</v>
      </c>
      <c r="G31" s="3">
        <v>1</v>
      </c>
      <c r="H31" s="3">
        <v>1</v>
      </c>
      <c r="I31" s="2">
        <v>8.1599999999999966</v>
      </c>
      <c r="J31" s="2">
        <v>102.46509822007491</v>
      </c>
      <c r="K31" s="1" t="s">
        <v>8</v>
      </c>
      <c r="L31" s="2">
        <v>3</v>
      </c>
      <c r="M31" s="3">
        <v>0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4.6153846153846212E-2</v>
      </c>
      <c r="T31" s="2">
        <v>6.4400000000000048</v>
      </c>
      <c r="U31" s="2">
        <v>87.799115333451624</v>
      </c>
      <c r="V31" s="1" t="s">
        <v>8</v>
      </c>
      <c r="W31" s="2">
        <v>3</v>
      </c>
      <c r="X31" s="3">
        <v>1</v>
      </c>
      <c r="Y31" s="3">
        <v>0</v>
      </c>
      <c r="Z31" s="3">
        <v>1</v>
      </c>
      <c r="AA31" s="3">
        <v>1</v>
      </c>
      <c r="AB31" s="3">
        <v>1</v>
      </c>
      <c r="AC31" s="3">
        <v>1</v>
      </c>
      <c r="AD31" s="3">
        <v>0.53846153846153855</v>
      </c>
      <c r="AE31" s="2">
        <v>6.3000000000000007</v>
      </c>
      <c r="AF31" s="2">
        <v>90.745061070831866</v>
      </c>
      <c r="AG31" s="1" t="s">
        <v>8</v>
      </c>
      <c r="AH31" s="2">
        <v>3</v>
      </c>
      <c r="AI31" s="3">
        <v>1</v>
      </c>
      <c r="AJ31" s="3">
        <v>1</v>
      </c>
      <c r="AK31" s="3">
        <v>0</v>
      </c>
      <c r="AL31" s="3">
        <v>1</v>
      </c>
      <c r="AM31" s="3">
        <v>1</v>
      </c>
      <c r="AN31" s="3">
        <v>1</v>
      </c>
      <c r="AO31" s="3">
        <v>0.8153846153846156</v>
      </c>
      <c r="AP31" s="2">
        <v>8.0400000000000027</v>
      </c>
      <c r="AQ31" s="2">
        <v>94.011867310718401</v>
      </c>
      <c r="AR31" s="1" t="s">
        <v>8</v>
      </c>
    </row>
    <row r="32" spans="1:44" x14ac:dyDescent="0.4">
      <c r="A32" s="2">
        <v>4</v>
      </c>
      <c r="B32" s="3">
        <v>1</v>
      </c>
      <c r="C32" s="3">
        <v>0.14444444444444449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2">
        <v>4.3799999999999955</v>
      </c>
      <c r="J32" s="2">
        <v>30.388794774421847</v>
      </c>
      <c r="K32" s="2">
        <v>7.9603453789574674E-2</v>
      </c>
      <c r="L32" s="2">
        <v>4</v>
      </c>
      <c r="M32" s="3">
        <v>0</v>
      </c>
      <c r="N32" s="3">
        <v>0.77777777777777779</v>
      </c>
      <c r="O32" s="3">
        <v>0</v>
      </c>
      <c r="P32" s="3">
        <v>0</v>
      </c>
      <c r="Q32" s="3">
        <v>0</v>
      </c>
      <c r="R32" s="3">
        <v>0</v>
      </c>
      <c r="S32" s="3">
        <v>1</v>
      </c>
      <c r="T32" s="2">
        <v>2.0999999999999979</v>
      </c>
      <c r="U32" s="2">
        <v>45.044100269676605</v>
      </c>
      <c r="V32" s="2">
        <v>8.9458844929513406E-2</v>
      </c>
      <c r="W32" s="2">
        <v>4</v>
      </c>
      <c r="X32" s="3">
        <v>1</v>
      </c>
      <c r="Y32" s="3">
        <v>0</v>
      </c>
      <c r="Z32" s="3">
        <v>0.21666666666666679</v>
      </c>
      <c r="AA32" s="3">
        <v>0</v>
      </c>
      <c r="AB32" s="3">
        <v>0</v>
      </c>
      <c r="AC32" s="3">
        <v>0</v>
      </c>
      <c r="AD32" s="3">
        <v>1</v>
      </c>
      <c r="AE32" s="2">
        <v>4.3799999999999955</v>
      </c>
      <c r="AF32" s="2">
        <v>29.50220971049616</v>
      </c>
      <c r="AG32" s="2">
        <v>7.6944006309148258E-2</v>
      </c>
      <c r="AH32" s="2">
        <v>4</v>
      </c>
      <c r="AI32" s="3">
        <v>1</v>
      </c>
      <c r="AJ32" s="3">
        <v>0.14444444444444449</v>
      </c>
      <c r="AK32" s="3">
        <v>0</v>
      </c>
      <c r="AL32" s="3">
        <v>0</v>
      </c>
      <c r="AM32" s="3">
        <v>0</v>
      </c>
      <c r="AN32" s="3">
        <v>0</v>
      </c>
      <c r="AO32" s="3">
        <v>1</v>
      </c>
      <c r="AP32" s="2">
        <v>4.3799999999999955</v>
      </c>
      <c r="AQ32" s="2">
        <v>30.388794774421847</v>
      </c>
      <c r="AR32" s="2">
        <v>7.8625690607734819E-2</v>
      </c>
    </row>
    <row r="33" spans="1:44" ht="15" x14ac:dyDescent="0.4">
      <c r="A33" s="2">
        <v>5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0.875</v>
      </c>
      <c r="H33" s="3">
        <v>1</v>
      </c>
      <c r="I33" s="2">
        <v>13.000000000000007</v>
      </c>
      <c r="J33" s="2">
        <v>60.728231199488704</v>
      </c>
      <c r="K33" s="1" t="s">
        <v>9</v>
      </c>
      <c r="L33" s="2">
        <v>5</v>
      </c>
      <c r="M33" s="3">
        <v>0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  <c r="S33" s="3">
        <v>0.88888888888888895</v>
      </c>
      <c r="T33" s="2">
        <v>6.4000000000000057</v>
      </c>
      <c r="U33" s="2">
        <v>42.829737569930899</v>
      </c>
      <c r="V33" s="1" t="s">
        <v>9</v>
      </c>
      <c r="W33" s="2">
        <v>5</v>
      </c>
      <c r="X33" s="3">
        <v>1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0.88888888888888895</v>
      </c>
      <c r="AE33" s="2">
        <v>8.0000000000000071</v>
      </c>
      <c r="AF33" s="2">
        <v>17.898493629557809</v>
      </c>
      <c r="AG33" s="1" t="s">
        <v>9</v>
      </c>
      <c r="AH33" s="2">
        <v>5</v>
      </c>
      <c r="AI33" s="3">
        <v>1</v>
      </c>
      <c r="AJ33" s="3">
        <v>1</v>
      </c>
      <c r="AK33" s="3">
        <v>0</v>
      </c>
      <c r="AL33" s="3">
        <v>0</v>
      </c>
      <c r="AM33" s="3">
        <v>0</v>
      </c>
      <c r="AN33" s="3">
        <v>0.875</v>
      </c>
      <c r="AO33" s="3">
        <v>1</v>
      </c>
      <c r="AP33" s="2">
        <v>13.000000000000007</v>
      </c>
      <c r="AQ33" s="2">
        <v>60.728231199488704</v>
      </c>
      <c r="AR33" s="1" t="s">
        <v>9</v>
      </c>
    </row>
    <row r="34" spans="1:44" x14ac:dyDescent="0.4">
      <c r="A34" s="2">
        <v>6</v>
      </c>
      <c r="B34" s="3">
        <v>0.45</v>
      </c>
      <c r="C34" s="3">
        <v>1</v>
      </c>
      <c r="D34" s="3">
        <v>0</v>
      </c>
      <c r="E34" s="3">
        <v>1</v>
      </c>
      <c r="F34" s="3">
        <v>0</v>
      </c>
      <c r="G34" s="3">
        <v>0</v>
      </c>
      <c r="H34" s="3">
        <v>1</v>
      </c>
      <c r="I34" s="2">
        <v>12.850000000000005</v>
      </c>
      <c r="J34" s="2">
        <v>63.207105321927919</v>
      </c>
      <c r="K34" s="2">
        <v>0.53151272759777224</v>
      </c>
      <c r="L34" s="2">
        <v>6</v>
      </c>
      <c r="M34" s="3">
        <v>0</v>
      </c>
      <c r="N34" s="3">
        <v>1</v>
      </c>
      <c r="O34" s="3">
        <v>0</v>
      </c>
      <c r="P34" s="3">
        <v>1</v>
      </c>
      <c r="Q34" s="3">
        <v>0</v>
      </c>
      <c r="R34" s="3">
        <v>0</v>
      </c>
      <c r="S34" s="3">
        <v>0.4375</v>
      </c>
      <c r="T34" s="2">
        <v>10.150000000000002</v>
      </c>
      <c r="U34" s="2">
        <v>49.205769422303497</v>
      </c>
      <c r="V34" s="2">
        <v>0.64121041852508476</v>
      </c>
      <c r="W34" s="2">
        <v>6</v>
      </c>
      <c r="X34" s="3">
        <v>1</v>
      </c>
      <c r="Y34" s="3">
        <v>0</v>
      </c>
      <c r="Z34" s="3">
        <v>0</v>
      </c>
      <c r="AA34" s="3">
        <v>1</v>
      </c>
      <c r="AB34" s="3">
        <v>0</v>
      </c>
      <c r="AC34" s="3">
        <v>0</v>
      </c>
      <c r="AD34" s="3">
        <v>0.8125</v>
      </c>
      <c r="AE34" s="2">
        <v>8.4500000000000028</v>
      </c>
      <c r="AF34" s="2">
        <v>31.114079776943161</v>
      </c>
      <c r="AG34" s="2">
        <v>0.52104111032613576</v>
      </c>
      <c r="AH34" s="2">
        <v>6</v>
      </c>
      <c r="AI34" s="3">
        <v>0.45</v>
      </c>
      <c r="AJ34" s="3">
        <v>1</v>
      </c>
      <c r="AK34" s="3">
        <v>0</v>
      </c>
      <c r="AL34" s="3">
        <v>1</v>
      </c>
      <c r="AM34" s="3">
        <v>0</v>
      </c>
      <c r="AN34" s="3">
        <v>0</v>
      </c>
      <c r="AO34" s="3">
        <v>1</v>
      </c>
      <c r="AP34" s="2">
        <v>12.850000000000005</v>
      </c>
      <c r="AQ34" s="2">
        <v>63.207105321927919</v>
      </c>
      <c r="AR34" s="2">
        <v>0.4874081472627162</v>
      </c>
    </row>
    <row r="35" spans="1:44" x14ac:dyDescent="0.4">
      <c r="A35" s="2">
        <v>7</v>
      </c>
      <c r="B35" s="3">
        <v>0</v>
      </c>
      <c r="C35" s="3">
        <v>1</v>
      </c>
      <c r="D35" s="3">
        <v>1</v>
      </c>
      <c r="E35" s="3">
        <v>1</v>
      </c>
      <c r="F35" s="3">
        <v>0</v>
      </c>
      <c r="G35" s="3">
        <v>0.3285714285714284</v>
      </c>
      <c r="H35" s="3">
        <v>1</v>
      </c>
      <c r="I35" s="2">
        <v>13.469999999999992</v>
      </c>
      <c r="J35" s="2">
        <v>100.19296604112853</v>
      </c>
      <c r="K35" s="12" t="s">
        <v>16</v>
      </c>
      <c r="L35" s="2">
        <v>7</v>
      </c>
      <c r="M35" s="3">
        <v>0</v>
      </c>
      <c r="N35" s="3">
        <v>1</v>
      </c>
      <c r="O35" s="3">
        <v>1</v>
      </c>
      <c r="P35" s="3">
        <v>1</v>
      </c>
      <c r="Q35" s="3">
        <v>0</v>
      </c>
      <c r="R35" s="3">
        <v>0.3285714285714284</v>
      </c>
      <c r="S35" s="3">
        <v>1</v>
      </c>
      <c r="T35" s="2">
        <v>13.469999999999992</v>
      </c>
      <c r="U35" s="2">
        <v>100.19296604112853</v>
      </c>
      <c r="V35" s="12" t="s">
        <v>15</v>
      </c>
      <c r="W35" s="2">
        <v>7</v>
      </c>
      <c r="X35" s="3">
        <v>0.74444444444444446</v>
      </c>
      <c r="Y35" s="3">
        <v>0</v>
      </c>
      <c r="Z35" s="3">
        <v>1</v>
      </c>
      <c r="AA35" s="3">
        <v>1</v>
      </c>
      <c r="AB35" s="3">
        <v>0</v>
      </c>
      <c r="AC35" s="3">
        <v>0</v>
      </c>
      <c r="AD35" s="3">
        <v>1</v>
      </c>
      <c r="AE35" s="2">
        <v>9.8699999999999974</v>
      </c>
      <c r="AF35" s="2">
        <v>81.294680929659833</v>
      </c>
      <c r="AG35" s="11" t="s">
        <v>18</v>
      </c>
      <c r="AH35" s="2">
        <v>7</v>
      </c>
      <c r="AI35" s="3">
        <v>0.46666666666666679</v>
      </c>
      <c r="AJ35" s="3">
        <v>1</v>
      </c>
      <c r="AK35" s="3">
        <v>0</v>
      </c>
      <c r="AL35" s="3">
        <v>1</v>
      </c>
      <c r="AM35" s="3">
        <v>0</v>
      </c>
      <c r="AN35" s="3">
        <v>0</v>
      </c>
      <c r="AO35" s="3">
        <v>1</v>
      </c>
      <c r="AP35" s="2">
        <v>11.519999999999996</v>
      </c>
      <c r="AQ35" s="2">
        <v>61.273391796739972</v>
      </c>
      <c r="AR35" s="11" t="s">
        <v>19</v>
      </c>
    </row>
    <row r="36" spans="1:44" x14ac:dyDescent="0.4">
      <c r="A36" s="2">
        <v>8</v>
      </c>
      <c r="B36" s="3">
        <v>0</v>
      </c>
      <c r="C36" s="3">
        <v>1</v>
      </c>
      <c r="D36" s="3">
        <v>0</v>
      </c>
      <c r="E36" s="3">
        <v>0</v>
      </c>
      <c r="F36" s="3">
        <v>1</v>
      </c>
      <c r="G36" s="3">
        <v>0</v>
      </c>
      <c r="H36" s="3">
        <v>8.333333333333337E-2</v>
      </c>
      <c r="I36" s="2">
        <v>3.9500000000000011</v>
      </c>
      <c r="J36" s="2">
        <v>30.432777250991808</v>
      </c>
      <c r="K36" s="12"/>
      <c r="L36" s="2">
        <v>8</v>
      </c>
      <c r="M36" s="3">
        <v>0</v>
      </c>
      <c r="N36" s="3">
        <v>1</v>
      </c>
      <c r="O36" s="3">
        <v>0</v>
      </c>
      <c r="P36" s="3">
        <v>0</v>
      </c>
      <c r="Q36" s="3">
        <v>1</v>
      </c>
      <c r="R36" s="3">
        <v>0</v>
      </c>
      <c r="S36" s="3">
        <v>8.333333333333337E-2</v>
      </c>
      <c r="T36" s="2">
        <v>3.9500000000000011</v>
      </c>
      <c r="U36" s="2">
        <v>30.432777250991808</v>
      </c>
      <c r="V36" s="12"/>
      <c r="W36" s="2">
        <v>8</v>
      </c>
      <c r="X36" s="3">
        <v>0.5</v>
      </c>
      <c r="Y36" s="3">
        <v>0</v>
      </c>
      <c r="Z36" s="3">
        <v>0</v>
      </c>
      <c r="AA36" s="3">
        <v>0</v>
      </c>
      <c r="AB36" s="3">
        <v>1</v>
      </c>
      <c r="AC36" s="3">
        <v>0</v>
      </c>
      <c r="AD36" s="3">
        <v>0</v>
      </c>
      <c r="AE36" s="2">
        <v>2.1999999999999993</v>
      </c>
      <c r="AF36" s="2">
        <v>39.178683168491688</v>
      </c>
      <c r="AG36" s="12"/>
      <c r="AH36" s="2">
        <v>8</v>
      </c>
      <c r="AI36" s="3">
        <v>0</v>
      </c>
      <c r="AJ36" s="3">
        <v>1</v>
      </c>
      <c r="AK36" s="3">
        <v>0</v>
      </c>
      <c r="AL36" s="3">
        <v>0</v>
      </c>
      <c r="AM36" s="3">
        <v>1</v>
      </c>
      <c r="AN36" s="3">
        <v>0</v>
      </c>
      <c r="AO36" s="3">
        <v>8.333333333333337E-2</v>
      </c>
      <c r="AP36" s="2">
        <v>3.9500000000000011</v>
      </c>
      <c r="AQ36" s="2">
        <v>30.432777250991808</v>
      </c>
      <c r="AR36" s="12"/>
    </row>
    <row r="37" spans="1:44" x14ac:dyDescent="0.4">
      <c r="A37" s="2">
        <v>9</v>
      </c>
      <c r="B37" s="3">
        <v>0.8421052631578948</v>
      </c>
      <c r="C37" s="3">
        <v>1</v>
      </c>
      <c r="D37" s="3">
        <v>0</v>
      </c>
      <c r="E37" s="3">
        <v>0</v>
      </c>
      <c r="F37" s="3">
        <v>1</v>
      </c>
      <c r="G37" s="3">
        <v>0</v>
      </c>
      <c r="H37" s="3">
        <v>1</v>
      </c>
      <c r="I37" s="2">
        <v>5.9499999999999993</v>
      </c>
      <c r="J37" s="2">
        <v>82.504504072529755</v>
      </c>
      <c r="K37" s="12"/>
      <c r="L37" s="2">
        <v>9</v>
      </c>
      <c r="M37" s="3">
        <v>0</v>
      </c>
      <c r="N37" s="3">
        <v>1</v>
      </c>
      <c r="O37" s="3">
        <v>0</v>
      </c>
      <c r="P37" s="3">
        <v>0</v>
      </c>
      <c r="Q37" s="3">
        <v>1</v>
      </c>
      <c r="R37" s="3">
        <v>0</v>
      </c>
      <c r="S37" s="3">
        <v>5.8823529411764608E-2</v>
      </c>
      <c r="T37" s="2">
        <v>5.1499999999999932</v>
      </c>
      <c r="U37" s="2">
        <v>31.989007833450742</v>
      </c>
      <c r="V37" s="12"/>
      <c r="W37" s="2">
        <v>9</v>
      </c>
      <c r="X37" s="3">
        <v>1</v>
      </c>
      <c r="Y37" s="3">
        <v>0</v>
      </c>
      <c r="Z37" s="3">
        <v>0</v>
      </c>
      <c r="AA37" s="3">
        <v>0</v>
      </c>
      <c r="AB37" s="3">
        <v>1</v>
      </c>
      <c r="AC37" s="3">
        <v>0</v>
      </c>
      <c r="AD37" s="3">
        <v>0.47058823529411764</v>
      </c>
      <c r="AE37" s="2">
        <v>3.6999999999999993</v>
      </c>
      <c r="AF37" s="2">
        <v>59.987151783906334</v>
      </c>
      <c r="AG37" s="12"/>
      <c r="AH37" s="2">
        <v>9</v>
      </c>
      <c r="AI37" s="3">
        <v>0.8421052631578948</v>
      </c>
      <c r="AJ37" s="3">
        <v>1</v>
      </c>
      <c r="AK37" s="3">
        <v>0</v>
      </c>
      <c r="AL37" s="3">
        <v>0</v>
      </c>
      <c r="AM37" s="3">
        <v>1</v>
      </c>
      <c r="AN37" s="3">
        <v>0</v>
      </c>
      <c r="AO37" s="3">
        <v>1</v>
      </c>
      <c r="AP37" s="2">
        <v>5.9499999999999993</v>
      </c>
      <c r="AQ37" s="2">
        <v>82.504504072529755</v>
      </c>
      <c r="AR37" s="12"/>
    </row>
    <row r="38" spans="1:44" x14ac:dyDescent="0.4">
      <c r="A38" s="2">
        <v>10</v>
      </c>
      <c r="B38" s="3">
        <v>0.74999999999999989</v>
      </c>
      <c r="C38" s="3">
        <v>1</v>
      </c>
      <c r="D38" s="3">
        <v>0</v>
      </c>
      <c r="E38" s="3">
        <v>1</v>
      </c>
      <c r="F38" s="3">
        <v>1</v>
      </c>
      <c r="G38" s="3">
        <v>0</v>
      </c>
      <c r="H38" s="3">
        <v>1</v>
      </c>
      <c r="I38" s="2">
        <v>19.400000000000009</v>
      </c>
      <c r="J38" s="2">
        <v>38.936312566621922</v>
      </c>
      <c r="K38" s="12"/>
      <c r="L38" s="2">
        <v>10</v>
      </c>
      <c r="M38" s="3">
        <v>0</v>
      </c>
      <c r="N38" s="3">
        <v>1</v>
      </c>
      <c r="O38" s="3">
        <v>1</v>
      </c>
      <c r="P38" s="3">
        <v>1</v>
      </c>
      <c r="Q38" s="3">
        <v>0.63636363636363646</v>
      </c>
      <c r="R38" s="3">
        <v>0</v>
      </c>
      <c r="S38" s="3">
        <v>1</v>
      </c>
      <c r="T38" s="2">
        <v>17.000000000000004</v>
      </c>
      <c r="U38" s="2">
        <v>66.370204212131853</v>
      </c>
      <c r="V38" s="12"/>
      <c r="W38" s="2">
        <v>10</v>
      </c>
      <c r="X38" s="3">
        <v>1</v>
      </c>
      <c r="Y38" s="3">
        <v>0</v>
      </c>
      <c r="Z38" s="3">
        <v>0.4285714285714286</v>
      </c>
      <c r="AA38" s="3">
        <v>1</v>
      </c>
      <c r="AB38" s="3">
        <v>1</v>
      </c>
      <c r="AC38" s="3">
        <v>0</v>
      </c>
      <c r="AD38" s="3">
        <v>1</v>
      </c>
      <c r="AE38" s="2">
        <v>14.000000000000004</v>
      </c>
      <c r="AF38" s="2">
        <v>46.565603511307984</v>
      </c>
      <c r="AG38" s="12"/>
      <c r="AH38" s="2">
        <v>10</v>
      </c>
      <c r="AI38" s="3">
        <v>0.74999999999999989</v>
      </c>
      <c r="AJ38" s="3">
        <v>1</v>
      </c>
      <c r="AK38" s="3">
        <v>0</v>
      </c>
      <c r="AL38" s="3">
        <v>1</v>
      </c>
      <c r="AM38" s="3">
        <v>1</v>
      </c>
      <c r="AN38" s="3">
        <v>0</v>
      </c>
      <c r="AO38" s="3">
        <v>1</v>
      </c>
      <c r="AP38" s="2">
        <v>19.400000000000009</v>
      </c>
      <c r="AQ38" s="2">
        <v>38.936312566621922</v>
      </c>
      <c r="AR38" s="12"/>
    </row>
    <row r="39" spans="1:44" x14ac:dyDescent="0.4">
      <c r="A39" s="2">
        <v>11</v>
      </c>
      <c r="B39" s="3">
        <v>0</v>
      </c>
      <c r="C39" s="3">
        <v>1</v>
      </c>
      <c r="D39" s="3">
        <v>0</v>
      </c>
      <c r="E39" s="3">
        <v>0.4285714285714286</v>
      </c>
      <c r="F39" s="3">
        <v>0</v>
      </c>
      <c r="G39" s="3">
        <v>0</v>
      </c>
      <c r="H39" s="3">
        <v>1</v>
      </c>
      <c r="I39" s="2">
        <v>11.249999999999998</v>
      </c>
      <c r="J39" s="2">
        <v>45.476281756890593</v>
      </c>
      <c r="K39" s="12"/>
      <c r="L39" s="2">
        <v>11</v>
      </c>
      <c r="M39" s="3">
        <v>0</v>
      </c>
      <c r="N39" s="3">
        <v>1</v>
      </c>
      <c r="O39" s="3">
        <v>0</v>
      </c>
      <c r="P39" s="3">
        <v>0.4285714285714286</v>
      </c>
      <c r="Q39" s="3">
        <v>0</v>
      </c>
      <c r="R39" s="3">
        <v>0</v>
      </c>
      <c r="S39" s="3">
        <v>1</v>
      </c>
      <c r="T39" s="2">
        <v>11.249999999999998</v>
      </c>
      <c r="U39" s="2">
        <v>45.476281756890593</v>
      </c>
      <c r="V39" s="12"/>
      <c r="W39" s="2">
        <v>11</v>
      </c>
      <c r="X39" s="3">
        <v>0</v>
      </c>
      <c r="Y39" s="3">
        <v>0</v>
      </c>
      <c r="Z39" s="3">
        <v>0.5</v>
      </c>
      <c r="AA39" s="3">
        <v>0</v>
      </c>
      <c r="AB39" s="3">
        <v>0</v>
      </c>
      <c r="AC39" s="3">
        <v>0</v>
      </c>
      <c r="AD39" s="3">
        <v>1</v>
      </c>
      <c r="AE39" s="2">
        <v>4.5</v>
      </c>
      <c r="AF39" s="2">
        <v>36.379602624665104</v>
      </c>
      <c r="AG39" s="12"/>
      <c r="AH39" s="2">
        <v>11</v>
      </c>
      <c r="AI39" s="3">
        <v>0</v>
      </c>
      <c r="AJ39" s="3">
        <v>1</v>
      </c>
      <c r="AK39" s="3">
        <v>0</v>
      </c>
      <c r="AL39" s="3">
        <v>0.4285714285714286</v>
      </c>
      <c r="AM39" s="3">
        <v>0</v>
      </c>
      <c r="AN39" s="3">
        <v>0</v>
      </c>
      <c r="AO39" s="3">
        <v>1</v>
      </c>
      <c r="AP39" s="2">
        <v>11.249999999999998</v>
      </c>
      <c r="AQ39" s="2">
        <v>45.476281756890593</v>
      </c>
      <c r="AR39" s="12"/>
    </row>
    <row r="40" spans="1:44" x14ac:dyDescent="0.4">
      <c r="A40" s="2">
        <v>12</v>
      </c>
      <c r="B40" s="3">
        <v>1</v>
      </c>
      <c r="C40" s="3">
        <v>0.73333333333333339</v>
      </c>
      <c r="D40" s="3">
        <v>0</v>
      </c>
      <c r="E40" s="3">
        <v>1</v>
      </c>
      <c r="F40" s="3">
        <v>0</v>
      </c>
      <c r="G40" s="3">
        <v>1</v>
      </c>
      <c r="H40" s="3">
        <v>1</v>
      </c>
      <c r="I40" s="2">
        <v>31.1</v>
      </c>
      <c r="J40" s="2">
        <v>82.538494441416248</v>
      </c>
      <c r="K40" s="12"/>
      <c r="L40" s="2">
        <v>12</v>
      </c>
      <c r="M40" s="3">
        <v>0</v>
      </c>
      <c r="N40" s="3">
        <v>1</v>
      </c>
      <c r="O40" s="3">
        <v>1</v>
      </c>
      <c r="P40" s="3">
        <v>1</v>
      </c>
      <c r="Q40" s="3">
        <v>0</v>
      </c>
      <c r="R40" s="3">
        <v>1</v>
      </c>
      <c r="S40" s="3">
        <v>0.57142857142857129</v>
      </c>
      <c r="T40" s="2">
        <v>22.3</v>
      </c>
      <c r="U40" s="2">
        <v>83.764043275608074</v>
      </c>
      <c r="V40" s="12"/>
      <c r="W40" s="2">
        <v>12</v>
      </c>
      <c r="X40" s="3">
        <v>1</v>
      </c>
      <c r="Y40" s="3">
        <v>0</v>
      </c>
      <c r="Z40" s="3">
        <v>0.91666666666666674</v>
      </c>
      <c r="AA40" s="3">
        <v>1</v>
      </c>
      <c r="AB40" s="3">
        <v>0</v>
      </c>
      <c r="AC40" s="3">
        <v>1</v>
      </c>
      <c r="AD40" s="3">
        <v>1</v>
      </c>
      <c r="AE40" s="2">
        <v>29.449999999999996</v>
      </c>
      <c r="AF40" s="2">
        <v>79.303092851619866</v>
      </c>
      <c r="AG40" s="12"/>
      <c r="AH40" s="2">
        <v>12</v>
      </c>
      <c r="AI40" s="3">
        <v>1</v>
      </c>
      <c r="AJ40" s="3">
        <v>0.73333333333333339</v>
      </c>
      <c r="AK40" s="3">
        <v>0</v>
      </c>
      <c r="AL40" s="3">
        <v>1</v>
      </c>
      <c r="AM40" s="3">
        <v>0</v>
      </c>
      <c r="AN40" s="3">
        <v>1</v>
      </c>
      <c r="AO40" s="3">
        <v>1</v>
      </c>
      <c r="AP40" s="2">
        <v>31.1</v>
      </c>
      <c r="AQ40" s="2">
        <v>82.538494441416248</v>
      </c>
      <c r="AR40" s="12"/>
    </row>
    <row r="41" spans="1:44" x14ac:dyDescent="0.4">
      <c r="A41" s="2">
        <v>13</v>
      </c>
      <c r="B41" s="3">
        <v>1</v>
      </c>
      <c r="C41" s="3">
        <v>0</v>
      </c>
      <c r="D41" s="3">
        <v>1</v>
      </c>
      <c r="E41" s="3">
        <v>1</v>
      </c>
      <c r="F41" s="3">
        <v>0.74999999999999978</v>
      </c>
      <c r="G41" s="3">
        <v>0</v>
      </c>
      <c r="H41" s="3">
        <v>1</v>
      </c>
      <c r="I41" s="2">
        <v>14.849999999999998</v>
      </c>
      <c r="J41" s="2">
        <v>75.075823489688105</v>
      </c>
      <c r="K41" s="12"/>
      <c r="L41" s="2">
        <v>13</v>
      </c>
      <c r="M41" s="3">
        <v>0</v>
      </c>
      <c r="N41" s="3">
        <v>0.625</v>
      </c>
      <c r="O41" s="3">
        <v>1</v>
      </c>
      <c r="P41" s="3">
        <v>1</v>
      </c>
      <c r="Q41" s="3">
        <v>0</v>
      </c>
      <c r="R41" s="3">
        <v>0</v>
      </c>
      <c r="S41" s="3">
        <v>1</v>
      </c>
      <c r="T41" s="2">
        <v>13.399999999999991</v>
      </c>
      <c r="U41" s="2">
        <v>68.927703189141326</v>
      </c>
      <c r="V41" s="12"/>
      <c r="W41" s="2">
        <v>13</v>
      </c>
      <c r="X41" s="3">
        <v>1</v>
      </c>
      <c r="Y41" s="3">
        <v>0</v>
      </c>
      <c r="Z41" s="3">
        <v>1</v>
      </c>
      <c r="AA41" s="3">
        <v>1</v>
      </c>
      <c r="AB41" s="3">
        <v>0.74999999999999978</v>
      </c>
      <c r="AC41" s="3">
        <v>0</v>
      </c>
      <c r="AD41" s="3">
        <v>1</v>
      </c>
      <c r="AE41" s="2">
        <v>14.849999999999998</v>
      </c>
      <c r="AF41" s="2">
        <v>75.075823489688105</v>
      </c>
      <c r="AG41" s="12"/>
      <c r="AH41" s="2">
        <v>13</v>
      </c>
      <c r="AI41" s="3">
        <v>1</v>
      </c>
      <c r="AJ41" s="3">
        <v>0.1875</v>
      </c>
      <c r="AK41" s="3">
        <v>0</v>
      </c>
      <c r="AL41" s="3">
        <v>1</v>
      </c>
      <c r="AM41" s="3">
        <v>0</v>
      </c>
      <c r="AN41" s="3">
        <v>0</v>
      </c>
      <c r="AO41" s="3">
        <v>1</v>
      </c>
      <c r="AP41" s="2">
        <v>12.900000000000006</v>
      </c>
      <c r="AQ41" s="2">
        <v>41.157586225943703</v>
      </c>
      <c r="AR41" s="12"/>
    </row>
    <row r="42" spans="1:44" x14ac:dyDescent="0.4">
      <c r="A42" s="2">
        <v>14</v>
      </c>
      <c r="B42" s="3">
        <v>0.125</v>
      </c>
      <c r="C42" s="3">
        <v>0</v>
      </c>
      <c r="D42" s="3">
        <v>1</v>
      </c>
      <c r="E42" s="3">
        <v>0</v>
      </c>
      <c r="F42" s="3">
        <v>0</v>
      </c>
      <c r="G42" s="3">
        <v>0</v>
      </c>
      <c r="H42" s="3">
        <v>1</v>
      </c>
      <c r="I42" s="2">
        <v>8.4000000000000021</v>
      </c>
      <c r="J42" s="2">
        <v>51.506776482412484</v>
      </c>
      <c r="K42" s="12"/>
      <c r="L42" s="2">
        <v>14</v>
      </c>
      <c r="M42" s="3">
        <v>0</v>
      </c>
      <c r="N42" s="3">
        <v>0.15000000000000002</v>
      </c>
      <c r="O42" s="3">
        <v>1</v>
      </c>
      <c r="P42" s="3">
        <v>0</v>
      </c>
      <c r="Q42" s="3">
        <v>0</v>
      </c>
      <c r="R42" s="3">
        <v>0</v>
      </c>
      <c r="S42" s="3">
        <v>1</v>
      </c>
      <c r="T42" s="2">
        <v>8.25</v>
      </c>
      <c r="U42" s="2">
        <v>56.384109936816188</v>
      </c>
      <c r="V42" s="12"/>
      <c r="W42" s="2">
        <v>14</v>
      </c>
      <c r="X42" s="3">
        <v>0.125</v>
      </c>
      <c r="Y42" s="3">
        <v>0</v>
      </c>
      <c r="Z42" s="3">
        <v>1</v>
      </c>
      <c r="AA42" s="3">
        <v>0</v>
      </c>
      <c r="AB42" s="3">
        <v>0</v>
      </c>
      <c r="AC42" s="3">
        <v>0</v>
      </c>
      <c r="AD42" s="3">
        <v>1</v>
      </c>
      <c r="AE42" s="2">
        <v>8.4000000000000021</v>
      </c>
      <c r="AF42" s="2">
        <v>51.506776482412484</v>
      </c>
      <c r="AG42" s="12"/>
      <c r="AH42" s="2">
        <v>14</v>
      </c>
      <c r="AI42" s="3">
        <v>0.625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1</v>
      </c>
      <c r="AP42" s="2">
        <v>6</v>
      </c>
      <c r="AQ42" s="2">
        <v>31.94807177869572</v>
      </c>
      <c r="AR42" s="12"/>
    </row>
    <row r="43" spans="1:44" x14ac:dyDescent="0.4">
      <c r="A43" s="2">
        <v>15</v>
      </c>
      <c r="B43" s="3">
        <v>0</v>
      </c>
      <c r="C43" s="3">
        <v>1</v>
      </c>
      <c r="D43" s="3">
        <v>0</v>
      </c>
      <c r="E43" s="3">
        <v>0</v>
      </c>
      <c r="F43" s="3">
        <v>0</v>
      </c>
      <c r="G43" s="3">
        <v>0.41666666666666674</v>
      </c>
      <c r="H43" s="3">
        <v>1</v>
      </c>
      <c r="I43" s="2">
        <v>7.9000000000000092</v>
      </c>
      <c r="J43" s="2">
        <v>39.865352230316716</v>
      </c>
      <c r="K43" s="12"/>
      <c r="L43" s="2">
        <v>15</v>
      </c>
      <c r="M43" s="3">
        <v>0</v>
      </c>
      <c r="N43" s="3">
        <v>1</v>
      </c>
      <c r="O43" s="3">
        <v>0</v>
      </c>
      <c r="P43" s="3">
        <v>0</v>
      </c>
      <c r="Q43" s="3">
        <v>0</v>
      </c>
      <c r="R43" s="3">
        <v>0.41666666666666674</v>
      </c>
      <c r="S43" s="3">
        <v>1</v>
      </c>
      <c r="T43" s="2">
        <v>7.9000000000000092</v>
      </c>
      <c r="U43" s="2">
        <v>39.865352230316716</v>
      </c>
      <c r="V43" s="12"/>
      <c r="W43" s="2">
        <v>15</v>
      </c>
      <c r="X43" s="3">
        <v>5.5555555555555469E-2</v>
      </c>
      <c r="Y43" s="3">
        <v>0</v>
      </c>
      <c r="Z43" s="3">
        <v>1</v>
      </c>
      <c r="AA43" s="3">
        <v>0</v>
      </c>
      <c r="AB43" s="3">
        <v>0</v>
      </c>
      <c r="AC43" s="3">
        <v>0</v>
      </c>
      <c r="AD43" s="3">
        <v>1</v>
      </c>
      <c r="AE43" s="2">
        <v>5.100000000000005</v>
      </c>
      <c r="AF43" s="2">
        <v>50.075678278135314</v>
      </c>
      <c r="AG43" s="12"/>
      <c r="AH43" s="2">
        <v>15</v>
      </c>
      <c r="AI43" s="3">
        <v>0</v>
      </c>
      <c r="AJ43" s="3">
        <v>1</v>
      </c>
      <c r="AK43" s="3">
        <v>0</v>
      </c>
      <c r="AL43" s="3">
        <v>0</v>
      </c>
      <c r="AM43" s="3">
        <v>0</v>
      </c>
      <c r="AN43" s="3">
        <v>0.41666666666666674</v>
      </c>
      <c r="AO43" s="3">
        <v>1</v>
      </c>
      <c r="AP43" s="2">
        <v>7.9000000000000092</v>
      </c>
      <c r="AQ43" s="2">
        <v>39.865352230316716</v>
      </c>
      <c r="AR43" s="12"/>
    </row>
    <row r="44" spans="1:44" x14ac:dyDescent="0.4">
      <c r="A44" s="2">
        <v>16</v>
      </c>
      <c r="B44" s="3">
        <v>1</v>
      </c>
      <c r="C44" s="3">
        <v>0.99999999999999978</v>
      </c>
      <c r="D44" s="3">
        <v>0</v>
      </c>
      <c r="E44" s="3">
        <v>1</v>
      </c>
      <c r="F44" s="3">
        <v>1</v>
      </c>
      <c r="G44" s="3">
        <v>0</v>
      </c>
      <c r="H44" s="3">
        <v>1</v>
      </c>
      <c r="I44" s="2">
        <v>5.1999999999999993</v>
      </c>
      <c r="J44" s="2">
        <v>73.460480618281181</v>
      </c>
      <c r="K44" s="12"/>
      <c r="L44" s="2">
        <v>16</v>
      </c>
      <c r="M44" s="3">
        <v>0</v>
      </c>
      <c r="N44" s="3">
        <v>1</v>
      </c>
      <c r="O44" s="3">
        <v>0</v>
      </c>
      <c r="P44" s="3">
        <v>0</v>
      </c>
      <c r="Q44" s="3">
        <v>0</v>
      </c>
      <c r="R44" s="3">
        <v>0</v>
      </c>
      <c r="S44" s="3">
        <v>1</v>
      </c>
      <c r="T44" s="2">
        <v>2.6000000000000014</v>
      </c>
      <c r="U44" s="2">
        <v>39.251924100444306</v>
      </c>
      <c r="V44" s="12"/>
      <c r="W44" s="2">
        <v>16</v>
      </c>
      <c r="X44" s="3">
        <v>1</v>
      </c>
      <c r="Y44" s="3">
        <v>0</v>
      </c>
      <c r="Z44" s="3">
        <v>0</v>
      </c>
      <c r="AA44" s="3">
        <v>0.58333333333333348</v>
      </c>
      <c r="AB44" s="3">
        <v>0</v>
      </c>
      <c r="AC44" s="3">
        <v>0</v>
      </c>
      <c r="AD44" s="3">
        <v>1</v>
      </c>
      <c r="AE44" s="2">
        <v>3.6500000000000057</v>
      </c>
      <c r="AF44" s="2">
        <v>34.208556517836882</v>
      </c>
      <c r="AG44" s="12"/>
      <c r="AH44" s="2">
        <v>16</v>
      </c>
      <c r="AI44" s="3">
        <v>1</v>
      </c>
      <c r="AJ44" s="3">
        <v>0.99999999999999978</v>
      </c>
      <c r="AK44" s="3">
        <v>0</v>
      </c>
      <c r="AL44" s="3">
        <v>1</v>
      </c>
      <c r="AM44" s="3">
        <v>1</v>
      </c>
      <c r="AN44" s="3">
        <v>0</v>
      </c>
      <c r="AO44" s="3">
        <v>1</v>
      </c>
      <c r="AP44" s="2">
        <v>5.1999999999999993</v>
      </c>
      <c r="AQ44" s="2">
        <v>73.460480618281181</v>
      </c>
      <c r="AR44" s="12"/>
    </row>
    <row r="45" spans="1:44" x14ac:dyDescent="0.4">
      <c r="A45" s="2">
        <v>17</v>
      </c>
      <c r="B45" s="3">
        <v>1</v>
      </c>
      <c r="C45" s="3">
        <v>1</v>
      </c>
      <c r="D45" s="3">
        <v>0</v>
      </c>
      <c r="E45" s="3">
        <v>0.66666666666666674</v>
      </c>
      <c r="F45" s="3">
        <v>1</v>
      </c>
      <c r="G45" s="3">
        <v>1</v>
      </c>
      <c r="H45" s="3">
        <v>1</v>
      </c>
      <c r="I45" s="2">
        <v>12.199999999999992</v>
      </c>
      <c r="J45" s="2">
        <v>108.83286073854867</v>
      </c>
      <c r="K45" s="12"/>
      <c r="L45" s="2">
        <v>17</v>
      </c>
      <c r="M45" s="3">
        <v>0</v>
      </c>
      <c r="N45" s="3">
        <v>1</v>
      </c>
      <c r="O45" s="3">
        <v>0</v>
      </c>
      <c r="P45" s="3">
        <v>0</v>
      </c>
      <c r="Q45" s="3">
        <v>1</v>
      </c>
      <c r="R45" s="3">
        <v>0</v>
      </c>
      <c r="S45" s="3">
        <v>0.30769230769230771</v>
      </c>
      <c r="T45" s="2">
        <v>6.35</v>
      </c>
      <c r="U45" s="2">
        <v>38.347094229552177</v>
      </c>
      <c r="V45" s="12"/>
      <c r="W45" s="2">
        <v>17</v>
      </c>
      <c r="X45" s="3">
        <v>1</v>
      </c>
      <c r="Y45" s="3">
        <v>0</v>
      </c>
      <c r="Z45" s="3">
        <v>0</v>
      </c>
      <c r="AA45" s="3">
        <v>0</v>
      </c>
      <c r="AB45" s="3">
        <v>1</v>
      </c>
      <c r="AC45" s="3">
        <v>0.54545454545454564</v>
      </c>
      <c r="AD45" s="3">
        <v>1</v>
      </c>
      <c r="AE45" s="2">
        <v>9.9000000000000021</v>
      </c>
      <c r="AF45" s="2">
        <v>70.485766508996505</v>
      </c>
      <c r="AG45" s="12"/>
      <c r="AH45" s="2">
        <v>17</v>
      </c>
      <c r="AI45" s="3">
        <v>1</v>
      </c>
      <c r="AJ45" s="3">
        <v>1</v>
      </c>
      <c r="AK45" s="3">
        <v>0</v>
      </c>
      <c r="AL45" s="3">
        <v>0.66666666666666674</v>
      </c>
      <c r="AM45" s="3">
        <v>1</v>
      </c>
      <c r="AN45" s="3">
        <v>1</v>
      </c>
      <c r="AO45" s="3">
        <v>1</v>
      </c>
      <c r="AP45" s="2">
        <v>12.199999999999992</v>
      </c>
      <c r="AQ45" s="2">
        <v>108.83286073854867</v>
      </c>
      <c r="AR45" s="12"/>
    </row>
    <row r="46" spans="1:44" x14ac:dyDescent="0.4">
      <c r="A46" s="2">
        <v>18</v>
      </c>
      <c r="B46" s="3">
        <v>0.88461538461538469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1</v>
      </c>
      <c r="I46" s="2">
        <v>13.099999999999994</v>
      </c>
      <c r="J46" s="2">
        <v>98.962740437281269</v>
      </c>
      <c r="K46" s="12"/>
      <c r="L46" s="2">
        <v>18</v>
      </c>
      <c r="M46" s="3">
        <v>0</v>
      </c>
      <c r="N46" s="3">
        <v>1</v>
      </c>
      <c r="O46" s="3">
        <v>0</v>
      </c>
      <c r="P46" s="3">
        <v>0</v>
      </c>
      <c r="Q46" s="3">
        <v>0</v>
      </c>
      <c r="R46" s="3">
        <v>0</v>
      </c>
      <c r="S46" s="3">
        <v>1</v>
      </c>
      <c r="T46" s="2">
        <v>7.1499999999999986</v>
      </c>
      <c r="U46" s="2">
        <v>41.991343804575763</v>
      </c>
      <c r="V46" s="12"/>
      <c r="W46" s="2">
        <v>18</v>
      </c>
      <c r="X46" s="3">
        <v>1</v>
      </c>
      <c r="Y46" s="3">
        <v>0</v>
      </c>
      <c r="Z46" s="3">
        <v>0</v>
      </c>
      <c r="AA46" s="3">
        <v>1</v>
      </c>
      <c r="AB46" s="3">
        <v>0</v>
      </c>
      <c r="AC46" s="3">
        <v>9.0909090909090828E-2</v>
      </c>
      <c r="AD46" s="3">
        <v>1</v>
      </c>
      <c r="AE46" s="2">
        <v>11.949999999999996</v>
      </c>
      <c r="AF46" s="2">
        <v>64.402448367406222</v>
      </c>
      <c r="AG46" s="12"/>
      <c r="AH46" s="2">
        <v>18</v>
      </c>
      <c r="AI46" s="3">
        <v>0.88461538461538469</v>
      </c>
      <c r="AJ46" s="3">
        <v>1</v>
      </c>
      <c r="AK46" s="3">
        <v>0</v>
      </c>
      <c r="AL46" s="3">
        <v>1</v>
      </c>
      <c r="AM46" s="3">
        <v>0</v>
      </c>
      <c r="AN46" s="3">
        <v>1</v>
      </c>
      <c r="AO46" s="3">
        <v>1</v>
      </c>
      <c r="AP46" s="2">
        <v>13.099999999999994</v>
      </c>
      <c r="AQ46" s="2">
        <v>98.962740437281269</v>
      </c>
      <c r="AR46" s="12"/>
    </row>
    <row r="47" spans="1:44" x14ac:dyDescent="0.4">
      <c r="A47" s="2">
        <v>19</v>
      </c>
      <c r="B47" s="3">
        <v>0</v>
      </c>
      <c r="C47" s="3">
        <v>1</v>
      </c>
      <c r="D47" s="3">
        <v>0.66666666666666652</v>
      </c>
      <c r="E47" s="3">
        <v>1</v>
      </c>
      <c r="F47" s="3">
        <v>1</v>
      </c>
      <c r="G47" s="3">
        <v>1</v>
      </c>
      <c r="H47" s="3">
        <v>0</v>
      </c>
      <c r="I47" s="2">
        <v>19.20000000000001</v>
      </c>
      <c r="J47" s="2">
        <v>95.662076780074997</v>
      </c>
      <c r="K47" s="12"/>
      <c r="L47" s="2">
        <v>19</v>
      </c>
      <c r="M47" s="3">
        <v>0</v>
      </c>
      <c r="N47" s="3">
        <v>1</v>
      </c>
      <c r="O47" s="3">
        <v>0.66666666666666652</v>
      </c>
      <c r="P47" s="3">
        <v>1</v>
      </c>
      <c r="Q47" s="3">
        <v>1</v>
      </c>
      <c r="R47" s="3">
        <v>1</v>
      </c>
      <c r="S47" s="3">
        <v>0</v>
      </c>
      <c r="T47" s="2">
        <v>19.20000000000001</v>
      </c>
      <c r="U47" s="2">
        <v>95.662076780074997</v>
      </c>
      <c r="V47" s="12"/>
      <c r="W47" s="2">
        <v>19</v>
      </c>
      <c r="X47" s="3">
        <v>0</v>
      </c>
      <c r="Y47" s="3">
        <v>0</v>
      </c>
      <c r="Z47" s="3">
        <v>1</v>
      </c>
      <c r="AA47" s="3">
        <v>0.66666666666666663</v>
      </c>
      <c r="AB47" s="3">
        <v>1</v>
      </c>
      <c r="AC47" s="3">
        <v>0</v>
      </c>
      <c r="AD47" s="3">
        <v>0</v>
      </c>
      <c r="AE47" s="2">
        <v>7.4500000000000028</v>
      </c>
      <c r="AF47" s="2">
        <v>46.685236220551076</v>
      </c>
      <c r="AG47" s="12"/>
      <c r="AH47" s="2">
        <v>19</v>
      </c>
      <c r="AI47" s="3">
        <v>0</v>
      </c>
      <c r="AJ47" s="3">
        <v>1</v>
      </c>
      <c r="AK47" s="3">
        <v>0</v>
      </c>
      <c r="AL47" s="3">
        <v>1</v>
      </c>
      <c r="AM47" s="3">
        <v>1</v>
      </c>
      <c r="AN47" s="3">
        <v>9.090909090909105E-2</v>
      </c>
      <c r="AO47" s="3">
        <v>0</v>
      </c>
      <c r="AP47" s="2">
        <v>14.700000000000012</v>
      </c>
      <c r="AQ47" s="2">
        <v>64.538585966374285</v>
      </c>
      <c r="AR47" s="12"/>
    </row>
    <row r="48" spans="1:44" x14ac:dyDescent="0.4">
      <c r="A48" s="2">
        <v>20</v>
      </c>
      <c r="B48" s="3">
        <v>1</v>
      </c>
      <c r="C48" s="3">
        <v>1</v>
      </c>
      <c r="D48" s="3">
        <v>0</v>
      </c>
      <c r="E48" s="3">
        <v>0</v>
      </c>
      <c r="F48" s="3">
        <v>1</v>
      </c>
      <c r="G48" s="3">
        <v>0.66666666666666674</v>
      </c>
      <c r="H48" s="3">
        <v>1</v>
      </c>
      <c r="I48" s="2">
        <v>7.100000000000005</v>
      </c>
      <c r="J48" s="2">
        <v>72.243254739863758</v>
      </c>
      <c r="K48" s="12"/>
      <c r="L48" s="2">
        <v>20</v>
      </c>
      <c r="M48" s="3">
        <v>0</v>
      </c>
      <c r="N48" s="3">
        <v>1</v>
      </c>
      <c r="O48" s="3">
        <v>0</v>
      </c>
      <c r="P48" s="3">
        <v>0</v>
      </c>
      <c r="Q48" s="3">
        <v>0</v>
      </c>
      <c r="R48" s="3">
        <v>0</v>
      </c>
      <c r="S48" s="3">
        <v>1</v>
      </c>
      <c r="T48" s="2">
        <v>3.8999999999999986</v>
      </c>
      <c r="U48" s="2">
        <v>34.294780537391034</v>
      </c>
      <c r="V48" s="12"/>
      <c r="W48" s="2">
        <v>20</v>
      </c>
      <c r="X48" s="3">
        <v>1</v>
      </c>
      <c r="Y48" s="3">
        <v>0</v>
      </c>
      <c r="Z48" s="3">
        <v>0</v>
      </c>
      <c r="AA48" s="3">
        <v>0</v>
      </c>
      <c r="AB48" s="3">
        <v>0.5</v>
      </c>
      <c r="AC48" s="3">
        <v>0</v>
      </c>
      <c r="AD48" s="3">
        <v>1</v>
      </c>
      <c r="AE48" s="2">
        <v>6.2000000000000028</v>
      </c>
      <c r="AF48" s="2">
        <v>37.948474202472724</v>
      </c>
      <c r="AG48" s="12"/>
      <c r="AH48" s="2">
        <v>20</v>
      </c>
      <c r="AI48" s="3">
        <v>1</v>
      </c>
      <c r="AJ48" s="3">
        <v>1</v>
      </c>
      <c r="AK48" s="3">
        <v>0</v>
      </c>
      <c r="AL48" s="3">
        <v>1</v>
      </c>
      <c r="AM48" s="3">
        <v>1</v>
      </c>
      <c r="AN48" s="3">
        <v>0</v>
      </c>
      <c r="AO48" s="3">
        <v>1</v>
      </c>
      <c r="AP48" s="2">
        <v>7.100000000000005</v>
      </c>
      <c r="AQ48" s="2">
        <v>72.243254739863758</v>
      </c>
      <c r="AR48" s="12"/>
    </row>
    <row r="49" spans="1:44" x14ac:dyDescent="0.4">
      <c r="A49" s="2">
        <v>21</v>
      </c>
      <c r="B49" s="3">
        <v>0</v>
      </c>
      <c r="C49" s="3">
        <v>0</v>
      </c>
      <c r="D49" s="3">
        <v>0.8125</v>
      </c>
      <c r="E49" s="3">
        <v>0</v>
      </c>
      <c r="F49" s="3">
        <v>0</v>
      </c>
      <c r="G49" s="3">
        <v>0</v>
      </c>
      <c r="H49" s="3">
        <v>1</v>
      </c>
      <c r="I49" s="2">
        <v>3.25</v>
      </c>
      <c r="J49" s="2">
        <v>60.563471956013281</v>
      </c>
      <c r="K49" s="12"/>
      <c r="L49" s="2">
        <v>21</v>
      </c>
      <c r="M49" s="3">
        <v>0</v>
      </c>
      <c r="N49" s="3">
        <v>0</v>
      </c>
      <c r="O49" s="3">
        <v>0.8125</v>
      </c>
      <c r="P49" s="3">
        <v>0</v>
      </c>
      <c r="Q49" s="3">
        <v>0</v>
      </c>
      <c r="R49" s="3">
        <v>0</v>
      </c>
      <c r="S49" s="3">
        <v>1</v>
      </c>
      <c r="T49" s="2">
        <v>3.25</v>
      </c>
      <c r="U49" s="2">
        <v>60.563471956013281</v>
      </c>
      <c r="V49" s="12"/>
      <c r="W49" s="2">
        <v>21</v>
      </c>
      <c r="X49" s="3">
        <v>0</v>
      </c>
      <c r="Y49" s="3">
        <v>0</v>
      </c>
      <c r="Z49" s="3">
        <v>0.8125</v>
      </c>
      <c r="AA49" s="3">
        <v>0</v>
      </c>
      <c r="AB49" s="3">
        <v>0</v>
      </c>
      <c r="AC49" s="3">
        <v>0</v>
      </c>
      <c r="AD49" s="3">
        <v>1</v>
      </c>
      <c r="AE49" s="2">
        <v>3.25</v>
      </c>
      <c r="AF49" s="2">
        <v>60.563471956013281</v>
      </c>
      <c r="AG49" s="12"/>
      <c r="AH49" s="2">
        <v>21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2">
        <v>0</v>
      </c>
      <c r="AQ49" s="2">
        <v>0</v>
      </c>
      <c r="AR49" s="12"/>
    </row>
    <row r="50" spans="1:44" x14ac:dyDescent="0.4">
      <c r="A50" s="2">
        <v>22</v>
      </c>
      <c r="B50" s="3">
        <v>0</v>
      </c>
      <c r="C50" s="3">
        <v>0.11764705882352944</v>
      </c>
      <c r="D50" s="3">
        <v>1</v>
      </c>
      <c r="E50" s="3">
        <v>0</v>
      </c>
      <c r="F50" s="3">
        <v>0</v>
      </c>
      <c r="G50" s="3">
        <v>0</v>
      </c>
      <c r="H50" s="3">
        <v>1</v>
      </c>
      <c r="I50" s="2">
        <v>5.1999999999999957</v>
      </c>
      <c r="J50" s="2">
        <v>44.084509691989595</v>
      </c>
      <c r="K50" s="12"/>
      <c r="L50" s="2">
        <v>22</v>
      </c>
      <c r="M50" s="3">
        <v>0</v>
      </c>
      <c r="N50" s="3">
        <v>0.11764705882352944</v>
      </c>
      <c r="O50" s="3">
        <v>1</v>
      </c>
      <c r="P50" s="3">
        <v>0</v>
      </c>
      <c r="Q50" s="3">
        <v>0</v>
      </c>
      <c r="R50" s="3">
        <v>0</v>
      </c>
      <c r="S50" s="3">
        <v>1</v>
      </c>
      <c r="T50" s="2">
        <v>5.1999999999999957</v>
      </c>
      <c r="U50" s="2">
        <v>44.084509691989595</v>
      </c>
      <c r="V50" s="12"/>
      <c r="W50" s="2">
        <v>22</v>
      </c>
      <c r="X50" s="3">
        <v>0</v>
      </c>
      <c r="Y50" s="3">
        <v>0</v>
      </c>
      <c r="Z50" s="3">
        <v>1</v>
      </c>
      <c r="AA50" s="3">
        <v>0</v>
      </c>
      <c r="AB50" s="3">
        <v>0</v>
      </c>
      <c r="AC50" s="3">
        <v>0</v>
      </c>
      <c r="AD50" s="3">
        <v>0.8571428571428571</v>
      </c>
      <c r="AE50" s="2">
        <v>4.7999999999999972</v>
      </c>
      <c r="AF50" s="2">
        <v>38.108388711198636</v>
      </c>
      <c r="AG50" s="12"/>
      <c r="AH50" s="2">
        <v>22</v>
      </c>
      <c r="AI50" s="3">
        <v>0</v>
      </c>
      <c r="AJ50" s="3">
        <v>0.82352941176470584</v>
      </c>
      <c r="AK50" s="3">
        <v>0</v>
      </c>
      <c r="AL50" s="3">
        <v>0</v>
      </c>
      <c r="AM50" s="3">
        <v>0</v>
      </c>
      <c r="AN50" s="3">
        <v>0</v>
      </c>
      <c r="AO50" s="3">
        <v>1</v>
      </c>
      <c r="AP50" s="2">
        <v>2.8000000000000007</v>
      </c>
      <c r="AQ50" s="2">
        <v>41.832846865536723</v>
      </c>
      <c r="AR50" s="12"/>
    </row>
    <row r="51" spans="1:44" x14ac:dyDescent="0.4">
      <c r="A51" s="2">
        <v>23</v>
      </c>
      <c r="B51" s="3">
        <v>0.36666666666666659</v>
      </c>
      <c r="C51" s="3">
        <v>1</v>
      </c>
      <c r="D51" s="3">
        <v>1</v>
      </c>
      <c r="E51" s="3">
        <v>0</v>
      </c>
      <c r="F51" s="3">
        <v>1</v>
      </c>
      <c r="G51" s="3">
        <v>1</v>
      </c>
      <c r="H51" s="3">
        <v>1</v>
      </c>
      <c r="I51" s="2">
        <v>6.2800000000000082</v>
      </c>
      <c r="J51" s="2">
        <v>114.13404181293295</v>
      </c>
      <c r="K51" s="12"/>
      <c r="L51" s="2">
        <v>23</v>
      </c>
      <c r="M51" s="3">
        <v>0</v>
      </c>
      <c r="N51" s="3">
        <v>1</v>
      </c>
      <c r="O51" s="3">
        <v>1</v>
      </c>
      <c r="P51" s="3">
        <v>0</v>
      </c>
      <c r="Q51" s="3">
        <v>1</v>
      </c>
      <c r="R51" s="3">
        <v>1</v>
      </c>
      <c r="S51" s="3">
        <v>0.51470588235294112</v>
      </c>
      <c r="T51" s="2">
        <v>5.9500000000000011</v>
      </c>
      <c r="U51" s="2">
        <v>97.055765358689357</v>
      </c>
      <c r="V51" s="12"/>
      <c r="W51" s="2">
        <v>23</v>
      </c>
      <c r="X51" s="3">
        <v>1</v>
      </c>
      <c r="Y51" s="3">
        <v>0</v>
      </c>
      <c r="Z51" s="3">
        <v>1</v>
      </c>
      <c r="AA51" s="3">
        <v>0</v>
      </c>
      <c r="AB51" s="3">
        <v>1</v>
      </c>
      <c r="AC51" s="3">
        <v>1</v>
      </c>
      <c r="AD51" s="3">
        <v>0.73529411764705865</v>
      </c>
      <c r="AE51" s="2">
        <v>6.1000000000000014</v>
      </c>
      <c r="AF51" s="2">
        <v>92.86757830470647</v>
      </c>
      <c r="AG51" s="12"/>
      <c r="AH51" s="2">
        <v>23</v>
      </c>
      <c r="AI51" s="3">
        <v>1</v>
      </c>
      <c r="AJ51" s="3">
        <v>1</v>
      </c>
      <c r="AK51" s="3">
        <v>0</v>
      </c>
      <c r="AL51" s="3">
        <v>0</v>
      </c>
      <c r="AM51" s="3">
        <v>1</v>
      </c>
      <c r="AN51" s="3">
        <v>1</v>
      </c>
      <c r="AO51" s="3">
        <v>0.95588235294117641</v>
      </c>
      <c r="AP51" s="2">
        <v>5.6499999999999986</v>
      </c>
      <c r="AQ51" s="2">
        <v>97.342422258948005</v>
      </c>
      <c r="AR51" s="12"/>
    </row>
    <row r="52" spans="1:44" ht="15" x14ac:dyDescent="0.4">
      <c r="A52" s="1" t="s">
        <v>14</v>
      </c>
      <c r="B52" s="3">
        <v>514.71</v>
      </c>
      <c r="C52" s="3">
        <v>426.94999999999993</v>
      </c>
      <c r="D52" s="3">
        <v>207.30999999999997</v>
      </c>
      <c r="I52" s="4">
        <f>SUM(I28:I51)</f>
        <v>248.92</v>
      </c>
      <c r="J52" s="4">
        <f>SUM(J28:J51)</f>
        <v>1662.0402991982339</v>
      </c>
      <c r="K52" s="12"/>
      <c r="L52" s="1" t="s">
        <v>14</v>
      </c>
      <c r="M52" s="3">
        <v>0</v>
      </c>
      <c r="N52" s="3">
        <v>514.99</v>
      </c>
      <c r="O52" s="3">
        <v>305.15000000000003</v>
      </c>
      <c r="P52" s="3"/>
      <c r="Q52" s="3"/>
      <c r="R52" s="3"/>
      <c r="S52" s="3"/>
      <c r="T52" s="4">
        <f>SUM(T28:T51)</f>
        <v>196.71999999999997</v>
      </c>
      <c r="U52" s="4">
        <f>SUM(U28:U51)</f>
        <v>1410.0217103366613</v>
      </c>
      <c r="V52" s="12"/>
      <c r="W52" s="1" t="s">
        <v>14</v>
      </c>
      <c r="X52" s="3">
        <v>633.5</v>
      </c>
      <c r="Y52" s="3">
        <v>0</v>
      </c>
      <c r="Z52" s="3">
        <v>322.62000000000006</v>
      </c>
      <c r="AA52" s="3"/>
      <c r="AB52" s="3"/>
      <c r="AC52" s="3"/>
      <c r="AD52" s="3"/>
      <c r="AE52" s="4">
        <f>SUM(AE28:AE51)</f>
        <v>195.12999999999997</v>
      </c>
      <c r="AF52" s="4">
        <f>SUM(AF28:AF51)</f>
        <v>1321.3602557870802</v>
      </c>
      <c r="AG52" s="12"/>
      <c r="AH52" s="1" t="s">
        <v>14</v>
      </c>
      <c r="AI52" s="3">
        <v>576.6</v>
      </c>
      <c r="AJ52" s="3">
        <v>494.43</v>
      </c>
      <c r="AK52" s="3">
        <v>0</v>
      </c>
      <c r="AL52" s="3"/>
      <c r="AM52" s="3"/>
      <c r="AN52" s="3"/>
      <c r="AO52" s="3"/>
      <c r="AP52" s="4">
        <f>SUM(AP28:AP51)</f>
        <v>227.70000000000002</v>
      </c>
      <c r="AQ52" s="4">
        <f>SUM(AQ28:AQ51)</f>
        <v>1411.5339944728262</v>
      </c>
      <c r="AR52" s="12"/>
    </row>
    <row r="53" spans="1:44" ht="15" x14ac:dyDescent="0.4">
      <c r="A53" s="1" t="s">
        <v>7</v>
      </c>
      <c r="B53" s="1" t="s">
        <v>0</v>
      </c>
      <c r="C53" s="1" t="s">
        <v>1</v>
      </c>
      <c r="D53" s="1" t="s">
        <v>2</v>
      </c>
      <c r="E53" s="1" t="s">
        <v>3</v>
      </c>
      <c r="F53" s="1" t="s">
        <v>4</v>
      </c>
      <c r="G53" s="1" t="s">
        <v>5</v>
      </c>
      <c r="H53" s="1" t="s">
        <v>6</v>
      </c>
      <c r="I53" s="1" t="s">
        <v>11</v>
      </c>
      <c r="J53" s="1" t="s">
        <v>13</v>
      </c>
      <c r="K53" s="1" t="s">
        <v>12</v>
      </c>
      <c r="L53" s="1" t="s">
        <v>7</v>
      </c>
      <c r="M53" s="1" t="s">
        <v>0</v>
      </c>
      <c r="N53" s="1" t="s">
        <v>1</v>
      </c>
      <c r="O53" s="1" t="s">
        <v>2</v>
      </c>
      <c r="P53" s="1" t="s">
        <v>3</v>
      </c>
      <c r="Q53" s="1" t="s">
        <v>4</v>
      </c>
      <c r="R53" s="1" t="s">
        <v>5</v>
      </c>
      <c r="S53" s="1" t="s">
        <v>6</v>
      </c>
      <c r="T53" s="1" t="s">
        <v>11</v>
      </c>
      <c r="U53" s="1" t="s">
        <v>13</v>
      </c>
      <c r="V53" s="1" t="s">
        <v>12</v>
      </c>
      <c r="W53" s="1" t="s">
        <v>7</v>
      </c>
      <c r="X53" s="1" t="s">
        <v>0</v>
      </c>
      <c r="Y53" s="1" t="s">
        <v>1</v>
      </c>
      <c r="Z53" s="1" t="s">
        <v>2</v>
      </c>
      <c r="AA53" s="1" t="s">
        <v>3</v>
      </c>
      <c r="AB53" s="1" t="s">
        <v>4</v>
      </c>
      <c r="AC53" s="1" t="s">
        <v>5</v>
      </c>
      <c r="AD53" s="1" t="s">
        <v>6</v>
      </c>
      <c r="AE53" s="1" t="s">
        <v>11</v>
      </c>
      <c r="AF53" s="1" t="s">
        <v>13</v>
      </c>
      <c r="AG53" s="1" t="s">
        <v>12</v>
      </c>
      <c r="AH53" s="1" t="s">
        <v>7</v>
      </c>
      <c r="AI53" s="1" t="s">
        <v>0</v>
      </c>
      <c r="AJ53" s="1" t="s">
        <v>1</v>
      </c>
      <c r="AK53" s="1" t="s">
        <v>2</v>
      </c>
      <c r="AL53" s="1" t="s">
        <v>3</v>
      </c>
      <c r="AM53" s="1" t="s">
        <v>4</v>
      </c>
      <c r="AN53" s="1" t="s">
        <v>5</v>
      </c>
      <c r="AO53" s="1" t="s">
        <v>6</v>
      </c>
      <c r="AP53" s="1" t="s">
        <v>11</v>
      </c>
      <c r="AQ53" s="1" t="s">
        <v>13</v>
      </c>
      <c r="AR53" s="1" t="s">
        <v>12</v>
      </c>
    </row>
    <row r="54" spans="1:44" x14ac:dyDescent="0.4">
      <c r="A54" s="2">
        <v>0</v>
      </c>
      <c r="B54" s="3">
        <v>0</v>
      </c>
      <c r="C54" s="3">
        <v>4.8543689320388328E-2</v>
      </c>
      <c r="D54" s="3">
        <v>1</v>
      </c>
      <c r="E54" s="3">
        <v>0</v>
      </c>
      <c r="F54" s="3">
        <v>0</v>
      </c>
      <c r="G54" s="3">
        <v>0</v>
      </c>
      <c r="H54" s="3">
        <v>1</v>
      </c>
      <c r="I54" s="2">
        <v>3.1000000000000014</v>
      </c>
      <c r="J54" s="2">
        <v>51.676540899392791</v>
      </c>
      <c r="K54" s="2">
        <v>0.38</v>
      </c>
      <c r="L54" s="2">
        <v>0</v>
      </c>
      <c r="M54" s="3">
        <v>0</v>
      </c>
      <c r="N54" s="3">
        <v>4.8543689320388328E-2</v>
      </c>
      <c r="O54" s="3">
        <v>1</v>
      </c>
      <c r="P54" s="3">
        <v>0</v>
      </c>
      <c r="Q54" s="3">
        <v>0</v>
      </c>
      <c r="R54" s="3">
        <v>0</v>
      </c>
      <c r="S54" s="3">
        <v>1</v>
      </c>
      <c r="T54" s="2">
        <v>3.1000000000000014</v>
      </c>
      <c r="U54" s="2">
        <v>51.676540899392791</v>
      </c>
      <c r="V54" s="2">
        <v>0.38</v>
      </c>
      <c r="W54" s="2">
        <v>0</v>
      </c>
      <c r="X54" s="3">
        <v>0</v>
      </c>
      <c r="Y54" s="3">
        <v>0</v>
      </c>
      <c r="Z54" s="3">
        <v>1</v>
      </c>
      <c r="AA54" s="3">
        <v>0</v>
      </c>
      <c r="AB54" s="3">
        <v>0</v>
      </c>
      <c r="AC54" s="3">
        <v>0</v>
      </c>
      <c r="AD54" s="3">
        <v>0.92307692307692313</v>
      </c>
      <c r="AE54" s="2">
        <v>3</v>
      </c>
      <c r="AF54" s="2">
        <v>48.3615940142369</v>
      </c>
      <c r="AG54" s="2">
        <v>0.38</v>
      </c>
      <c r="AH54" s="2">
        <v>0</v>
      </c>
      <c r="AI54" s="3">
        <v>0</v>
      </c>
      <c r="AJ54" s="3">
        <v>0.63106796116504849</v>
      </c>
      <c r="AK54" s="3">
        <v>0</v>
      </c>
      <c r="AL54" s="3">
        <v>0</v>
      </c>
      <c r="AM54" s="3">
        <v>0</v>
      </c>
      <c r="AN54" s="3">
        <v>0</v>
      </c>
      <c r="AO54" s="3">
        <v>1</v>
      </c>
      <c r="AP54" s="2">
        <v>1.3000000000000007</v>
      </c>
      <c r="AQ54" s="2">
        <v>43.09430950702663</v>
      </c>
      <c r="AR54" s="2">
        <v>0.38</v>
      </c>
    </row>
    <row r="55" spans="1:44" ht="15" x14ac:dyDescent="0.4">
      <c r="A55" s="2">
        <v>1</v>
      </c>
      <c r="B55" s="3">
        <v>1</v>
      </c>
      <c r="C55" s="3">
        <v>0</v>
      </c>
      <c r="D55" s="3">
        <v>1</v>
      </c>
      <c r="E55" s="3">
        <v>1</v>
      </c>
      <c r="F55" s="3">
        <v>0.73333333333333361</v>
      </c>
      <c r="G55" s="3">
        <v>1</v>
      </c>
      <c r="H55" s="3">
        <v>1</v>
      </c>
      <c r="I55" s="2">
        <v>13.719999999999999</v>
      </c>
      <c r="J55" s="2">
        <v>124.31104257748757</v>
      </c>
      <c r="K55" s="1" t="s">
        <v>10</v>
      </c>
      <c r="L55" s="2">
        <v>1</v>
      </c>
      <c r="M55" s="3">
        <v>0</v>
      </c>
      <c r="N55" s="3">
        <v>0.96666666666666667</v>
      </c>
      <c r="O55" s="3">
        <v>1</v>
      </c>
      <c r="P55" s="3">
        <v>1</v>
      </c>
      <c r="Q55" s="3">
        <v>0</v>
      </c>
      <c r="R55" s="3">
        <v>1</v>
      </c>
      <c r="S55" s="3">
        <v>1</v>
      </c>
      <c r="T55" s="2">
        <v>10.119999999999997</v>
      </c>
      <c r="U55" s="2">
        <v>122.19295158863193</v>
      </c>
      <c r="V55" s="1" t="s">
        <v>10</v>
      </c>
      <c r="W55" s="2">
        <v>1</v>
      </c>
      <c r="X55" s="3">
        <v>1</v>
      </c>
      <c r="Y55" s="3">
        <v>0</v>
      </c>
      <c r="Z55" s="3">
        <v>1</v>
      </c>
      <c r="AA55" s="3">
        <v>1</v>
      </c>
      <c r="AB55" s="3">
        <v>0.73333333333333361</v>
      </c>
      <c r="AC55" s="3">
        <v>1</v>
      </c>
      <c r="AD55" s="3">
        <v>1</v>
      </c>
      <c r="AE55" s="2">
        <v>13.719999999999999</v>
      </c>
      <c r="AF55" s="2">
        <v>124.31104257748757</v>
      </c>
      <c r="AG55" s="1" t="s">
        <v>10</v>
      </c>
      <c r="AH55" s="2">
        <v>1</v>
      </c>
      <c r="AI55" s="3">
        <v>1</v>
      </c>
      <c r="AJ55" s="3">
        <v>0.45555555555555549</v>
      </c>
      <c r="AK55" s="3">
        <v>0</v>
      </c>
      <c r="AL55" s="3">
        <v>1</v>
      </c>
      <c r="AM55" s="3">
        <v>0</v>
      </c>
      <c r="AN55" s="3">
        <v>1</v>
      </c>
      <c r="AO55" s="3">
        <v>1</v>
      </c>
      <c r="AP55" s="2">
        <v>11.5</v>
      </c>
      <c r="AQ55" s="2">
        <v>93.966961515804257</v>
      </c>
      <c r="AR55" s="1" t="s">
        <v>10</v>
      </c>
    </row>
    <row r="56" spans="1:44" x14ac:dyDescent="0.4">
      <c r="A56" s="2">
        <v>2</v>
      </c>
      <c r="B56" s="5">
        <v>0.47805074063470343</v>
      </c>
      <c r="C56" s="3">
        <v>0</v>
      </c>
      <c r="D56" s="6">
        <v>1</v>
      </c>
      <c r="E56" s="3">
        <v>1</v>
      </c>
      <c r="F56" s="3">
        <v>0.14939587932477227</v>
      </c>
      <c r="G56" s="3">
        <v>0</v>
      </c>
      <c r="H56" s="3">
        <v>1</v>
      </c>
      <c r="I56" s="2">
        <v>4.709516703459812</v>
      </c>
      <c r="J56" s="2">
        <v>43.690817365736542</v>
      </c>
      <c r="K56" s="2">
        <v>3142.3253303102001</v>
      </c>
      <c r="L56" s="2">
        <v>2</v>
      </c>
      <c r="M56" s="3">
        <v>0</v>
      </c>
      <c r="N56" s="3">
        <v>0</v>
      </c>
      <c r="O56" s="3">
        <v>1</v>
      </c>
      <c r="P56" s="3">
        <v>1</v>
      </c>
      <c r="Q56" s="3">
        <v>0</v>
      </c>
      <c r="R56" s="3">
        <v>0</v>
      </c>
      <c r="S56" s="3">
        <v>0.34666666666666668</v>
      </c>
      <c r="T56" s="2">
        <v>2.139999999999997</v>
      </c>
      <c r="U56" s="2">
        <v>36.620083068067714</v>
      </c>
      <c r="V56" s="2">
        <v>2199</v>
      </c>
      <c r="W56" s="2">
        <v>2</v>
      </c>
      <c r="X56" s="3">
        <v>0.47805074063470343</v>
      </c>
      <c r="Y56" s="3">
        <v>0</v>
      </c>
      <c r="Z56" s="3">
        <v>1</v>
      </c>
      <c r="AA56" s="3">
        <v>1</v>
      </c>
      <c r="AB56" s="3">
        <v>0.14939587932477227</v>
      </c>
      <c r="AC56" s="3">
        <v>0</v>
      </c>
      <c r="AD56" s="3">
        <v>1</v>
      </c>
      <c r="AE56" s="2">
        <v>4.709516703459812</v>
      </c>
      <c r="AF56" s="2">
        <v>43.690817365736542</v>
      </c>
      <c r="AG56" s="2">
        <v>2564.644541467318</v>
      </c>
      <c r="AH56" s="2">
        <v>2</v>
      </c>
      <c r="AI56" s="3">
        <v>0.52095327474176312</v>
      </c>
      <c r="AJ56" s="3">
        <v>0.57753380476114391</v>
      </c>
      <c r="AK56" s="3">
        <v>0</v>
      </c>
      <c r="AL56" s="3">
        <v>1</v>
      </c>
      <c r="AM56" s="3">
        <v>0</v>
      </c>
      <c r="AN56" s="3">
        <v>0</v>
      </c>
      <c r="AO56" s="3">
        <v>1</v>
      </c>
      <c r="AP56" s="2">
        <v>1.862770127624227</v>
      </c>
      <c r="AQ56" s="2">
        <v>41.419999999999995</v>
      </c>
      <c r="AR56" s="2">
        <v>2743.5910801729356</v>
      </c>
    </row>
    <row r="57" spans="1:44" ht="15" x14ac:dyDescent="0.4">
      <c r="A57" s="2">
        <v>3</v>
      </c>
      <c r="B57" s="3">
        <v>1</v>
      </c>
      <c r="C57" s="3">
        <v>1</v>
      </c>
      <c r="D57" s="3">
        <v>0.19999999999999996</v>
      </c>
      <c r="E57" s="3">
        <v>1</v>
      </c>
      <c r="F57" s="3">
        <v>1</v>
      </c>
      <c r="G57" s="3">
        <v>1</v>
      </c>
      <c r="H57" s="3">
        <v>1</v>
      </c>
      <c r="I57" s="2">
        <v>8.1599999999999966</v>
      </c>
      <c r="J57" s="2">
        <v>102.46509822007491</v>
      </c>
      <c r="K57" s="1" t="s">
        <v>8</v>
      </c>
      <c r="L57" s="2">
        <v>3</v>
      </c>
      <c r="M57" s="3">
        <v>0</v>
      </c>
      <c r="N57" s="3">
        <v>1</v>
      </c>
      <c r="O57" s="3">
        <v>1</v>
      </c>
      <c r="P57" s="3">
        <v>1</v>
      </c>
      <c r="Q57" s="3">
        <v>1</v>
      </c>
      <c r="R57" s="3">
        <v>1</v>
      </c>
      <c r="S57" s="3">
        <v>4.6153846153846212E-2</v>
      </c>
      <c r="T57" s="2">
        <v>6.4400000000000048</v>
      </c>
      <c r="U57" s="2">
        <v>87.799115333451624</v>
      </c>
      <c r="V57" s="1" t="s">
        <v>8</v>
      </c>
      <c r="W57" s="2">
        <v>3</v>
      </c>
      <c r="X57" s="3">
        <v>1</v>
      </c>
      <c r="Y57" s="3">
        <v>0</v>
      </c>
      <c r="Z57" s="3">
        <v>1</v>
      </c>
      <c r="AA57" s="3">
        <v>1</v>
      </c>
      <c r="AB57" s="3">
        <v>1</v>
      </c>
      <c r="AC57" s="3">
        <v>1</v>
      </c>
      <c r="AD57" s="3">
        <v>0.53846153846153855</v>
      </c>
      <c r="AE57" s="2">
        <v>6.3000000000000007</v>
      </c>
      <c r="AF57" s="2">
        <v>90.745061070831866</v>
      </c>
      <c r="AG57" s="1" t="s">
        <v>8</v>
      </c>
      <c r="AH57" s="2">
        <v>3</v>
      </c>
      <c r="AI57" s="3">
        <v>1</v>
      </c>
      <c r="AJ57" s="3">
        <v>1</v>
      </c>
      <c r="AK57" s="3">
        <v>0</v>
      </c>
      <c r="AL57" s="3">
        <v>1</v>
      </c>
      <c r="AM57" s="3">
        <v>1</v>
      </c>
      <c r="AN57" s="3">
        <v>1</v>
      </c>
      <c r="AO57" s="3">
        <v>0.8153846153846156</v>
      </c>
      <c r="AP57" s="2">
        <v>8.0400000000000027</v>
      </c>
      <c r="AQ57" s="2">
        <v>94.011867310718401</v>
      </c>
      <c r="AR57" s="1" t="s">
        <v>8</v>
      </c>
    </row>
    <row r="58" spans="1:44" x14ac:dyDescent="0.4">
      <c r="A58" s="2">
        <v>4</v>
      </c>
      <c r="B58" s="3">
        <v>1</v>
      </c>
      <c r="C58" s="3">
        <v>0.14444444444444449</v>
      </c>
      <c r="D58" s="3">
        <v>0</v>
      </c>
      <c r="E58" s="3">
        <v>0</v>
      </c>
      <c r="F58" s="3">
        <v>0</v>
      </c>
      <c r="G58" s="3">
        <v>0</v>
      </c>
      <c r="H58" s="3">
        <v>1</v>
      </c>
      <c r="I58" s="2">
        <v>4.3799999999999955</v>
      </c>
      <c r="J58" s="2">
        <v>30.388794774421847</v>
      </c>
      <c r="K58" s="2">
        <v>7.8576961930045236E-2</v>
      </c>
      <c r="L58" s="2">
        <v>4</v>
      </c>
      <c r="M58" s="3">
        <v>0</v>
      </c>
      <c r="N58" s="3">
        <v>0.77777777777777779</v>
      </c>
      <c r="O58" s="3">
        <v>0</v>
      </c>
      <c r="P58" s="3">
        <v>0</v>
      </c>
      <c r="Q58" s="3">
        <v>0</v>
      </c>
      <c r="R58" s="3">
        <v>0</v>
      </c>
      <c r="S58" s="3">
        <v>1</v>
      </c>
      <c r="T58" s="2">
        <v>2.0999999999999979</v>
      </c>
      <c r="U58" s="2">
        <v>45.044100269676605</v>
      </c>
      <c r="V58" s="2">
        <v>8.9458844929513406E-2</v>
      </c>
      <c r="W58" s="2">
        <v>4</v>
      </c>
      <c r="X58" s="3">
        <v>1</v>
      </c>
      <c r="Y58" s="3">
        <v>0</v>
      </c>
      <c r="Z58" s="3">
        <v>0.21666666666666679</v>
      </c>
      <c r="AA58" s="3">
        <v>0</v>
      </c>
      <c r="AB58" s="3">
        <v>0</v>
      </c>
      <c r="AC58" s="3">
        <v>0</v>
      </c>
      <c r="AD58" s="3">
        <v>1</v>
      </c>
      <c r="AE58" s="2">
        <v>4.3799999999999955</v>
      </c>
      <c r="AF58" s="2">
        <v>29.50220971049616</v>
      </c>
      <c r="AG58" s="2">
        <v>7.3433699923982534E-2</v>
      </c>
      <c r="AH58" s="2">
        <v>4</v>
      </c>
      <c r="AI58" s="3">
        <v>1</v>
      </c>
      <c r="AJ58" s="3">
        <v>0.14444444444444449</v>
      </c>
      <c r="AK58" s="3">
        <v>0</v>
      </c>
      <c r="AL58" s="3">
        <v>0</v>
      </c>
      <c r="AM58" s="3">
        <v>0</v>
      </c>
      <c r="AN58" s="3">
        <v>0</v>
      </c>
      <c r="AO58" s="3">
        <v>1</v>
      </c>
      <c r="AP58" s="2">
        <v>4.3799999999999955</v>
      </c>
      <c r="AQ58" s="2">
        <v>30.388794774421847</v>
      </c>
      <c r="AR58" s="2">
        <v>7.4419080508549271E-2</v>
      </c>
    </row>
    <row r="59" spans="1:44" ht="15" x14ac:dyDescent="0.4">
      <c r="A59" s="2">
        <v>5</v>
      </c>
      <c r="B59" s="3">
        <v>1</v>
      </c>
      <c r="C59" s="3">
        <v>1</v>
      </c>
      <c r="D59" s="6">
        <v>9.4458145191655962E-3</v>
      </c>
      <c r="E59" s="3">
        <v>0</v>
      </c>
      <c r="F59" s="3">
        <v>0</v>
      </c>
      <c r="G59" s="3">
        <v>0.87936868921511413</v>
      </c>
      <c r="H59" s="3">
        <v>1</v>
      </c>
      <c r="I59" s="2">
        <v>12.989515145883736</v>
      </c>
      <c r="J59" s="2">
        <v>60.932808152139465</v>
      </c>
      <c r="K59" s="1" t="s">
        <v>9</v>
      </c>
      <c r="L59" s="2">
        <v>5</v>
      </c>
      <c r="M59" s="3">
        <v>0</v>
      </c>
      <c r="N59" s="3">
        <v>1</v>
      </c>
      <c r="O59" s="3">
        <v>0</v>
      </c>
      <c r="P59" s="3">
        <v>0</v>
      </c>
      <c r="Q59" s="3">
        <v>0</v>
      </c>
      <c r="R59" s="3">
        <v>0</v>
      </c>
      <c r="S59" s="3">
        <v>0.88888888888888895</v>
      </c>
      <c r="T59" s="2">
        <v>6.4000000000000057</v>
      </c>
      <c r="U59" s="2">
        <v>42.829737569930899</v>
      </c>
      <c r="V59" s="1" t="s">
        <v>9</v>
      </c>
      <c r="W59" s="2">
        <v>5</v>
      </c>
      <c r="X59" s="3">
        <v>0.60776253927791446</v>
      </c>
      <c r="Y59" s="3">
        <v>0</v>
      </c>
      <c r="Z59" s="3">
        <v>1</v>
      </c>
      <c r="AA59" s="3">
        <v>0</v>
      </c>
      <c r="AB59" s="3">
        <v>0</v>
      </c>
      <c r="AC59" s="3">
        <v>0</v>
      </c>
      <c r="AD59" s="3">
        <v>0.95134447935814626</v>
      </c>
      <c r="AE59" s="2">
        <v>4.4921003142233147</v>
      </c>
      <c r="AF59" s="2">
        <v>32.535981194048603</v>
      </c>
      <c r="AG59" s="1" t="s">
        <v>9</v>
      </c>
      <c r="AH59" s="2">
        <v>5</v>
      </c>
      <c r="AI59" s="3">
        <v>0.99425918778228373</v>
      </c>
      <c r="AJ59" s="3">
        <v>1</v>
      </c>
      <c r="AK59" s="3">
        <v>0</v>
      </c>
      <c r="AL59" s="3">
        <v>0</v>
      </c>
      <c r="AM59" s="3">
        <v>0</v>
      </c>
      <c r="AN59" s="3">
        <v>0.86925918778228373</v>
      </c>
      <c r="AO59" s="3">
        <v>1</v>
      </c>
      <c r="AP59" s="2">
        <v>12.963258801806621</v>
      </c>
      <c r="AQ59" s="2">
        <v>60.625479308581426</v>
      </c>
      <c r="AR59" s="1" t="s">
        <v>9</v>
      </c>
    </row>
    <row r="60" spans="1:44" x14ac:dyDescent="0.4">
      <c r="A60" s="2">
        <v>6</v>
      </c>
      <c r="B60" s="3">
        <v>0.45</v>
      </c>
      <c r="C60" s="3">
        <v>1</v>
      </c>
      <c r="D60" s="3">
        <v>0</v>
      </c>
      <c r="E60" s="3">
        <v>1</v>
      </c>
      <c r="F60" s="3">
        <v>0</v>
      </c>
      <c r="G60" s="3">
        <v>0</v>
      </c>
      <c r="H60" s="3">
        <v>1</v>
      </c>
      <c r="I60" s="2">
        <v>12.850000000000005</v>
      </c>
      <c r="J60" s="2">
        <v>63.207105321927919</v>
      </c>
      <c r="K60" s="2">
        <v>0.54837886741581821</v>
      </c>
      <c r="L60" s="2">
        <v>6</v>
      </c>
      <c r="M60" s="3">
        <v>0</v>
      </c>
      <c r="N60" s="3">
        <v>1</v>
      </c>
      <c r="O60" s="3">
        <v>0</v>
      </c>
      <c r="P60" s="3">
        <v>1</v>
      </c>
      <c r="Q60" s="3">
        <v>0</v>
      </c>
      <c r="R60" s="3">
        <v>0</v>
      </c>
      <c r="S60" s="3">
        <v>0.4375</v>
      </c>
      <c r="T60" s="2">
        <v>10.150000000000002</v>
      </c>
      <c r="U60" s="2">
        <v>49.205769422303497</v>
      </c>
      <c r="V60" s="2">
        <v>0.64121041852508476</v>
      </c>
      <c r="W60" s="2">
        <v>6</v>
      </c>
      <c r="X60" s="3">
        <v>0.94424947610958532</v>
      </c>
      <c r="Y60" s="3">
        <v>0</v>
      </c>
      <c r="Z60" s="3">
        <v>0.58785863968689911</v>
      </c>
      <c r="AA60" s="3">
        <v>1</v>
      </c>
      <c r="AB60" s="3">
        <v>0</v>
      </c>
      <c r="AC60" s="3">
        <v>0</v>
      </c>
      <c r="AD60" s="3">
        <v>1</v>
      </c>
      <c r="AE60" s="2">
        <v>7.7039958088766873</v>
      </c>
      <c r="AF60" s="2">
        <v>43.7</v>
      </c>
      <c r="AG60" s="2">
        <v>0.5438444448962757</v>
      </c>
      <c r="AH60" s="2">
        <v>6</v>
      </c>
      <c r="AI60" s="3">
        <v>0.45</v>
      </c>
      <c r="AJ60" s="3">
        <v>1</v>
      </c>
      <c r="AK60" s="3">
        <v>0</v>
      </c>
      <c r="AL60" s="3">
        <v>1</v>
      </c>
      <c r="AM60" s="3">
        <v>0</v>
      </c>
      <c r="AN60" s="3">
        <v>0</v>
      </c>
      <c r="AO60" s="3">
        <v>1</v>
      </c>
      <c r="AP60" s="2">
        <v>12.850000000000005</v>
      </c>
      <c r="AQ60" s="2">
        <v>63.207105321927919</v>
      </c>
      <c r="AR60" s="2">
        <v>0.51075603940208958</v>
      </c>
    </row>
    <row r="61" spans="1:44" x14ac:dyDescent="0.4">
      <c r="A61" s="2">
        <v>7</v>
      </c>
      <c r="B61" s="3">
        <v>0</v>
      </c>
      <c r="C61" s="3">
        <v>1</v>
      </c>
      <c r="D61" s="3">
        <v>1</v>
      </c>
      <c r="E61" s="3">
        <v>1</v>
      </c>
      <c r="F61" s="3">
        <v>0</v>
      </c>
      <c r="G61" s="3">
        <v>0.3285714285714284</v>
      </c>
      <c r="H61" s="3">
        <v>1</v>
      </c>
      <c r="I61" s="2">
        <v>13.469999999999992</v>
      </c>
      <c r="J61" s="2">
        <v>100.19296604112853</v>
      </c>
      <c r="K61" s="12" t="s">
        <v>16</v>
      </c>
      <c r="L61" s="2">
        <v>7</v>
      </c>
      <c r="M61" s="3">
        <v>0</v>
      </c>
      <c r="N61" s="3">
        <v>1</v>
      </c>
      <c r="O61" s="3">
        <v>1</v>
      </c>
      <c r="P61" s="3">
        <v>1</v>
      </c>
      <c r="Q61" s="3">
        <v>0</v>
      </c>
      <c r="R61" s="3">
        <v>0.3285714285714284</v>
      </c>
      <c r="S61" s="3">
        <v>1</v>
      </c>
      <c r="T61" s="2">
        <v>13.469999999999992</v>
      </c>
      <c r="U61" s="2">
        <v>100.19296604112853</v>
      </c>
      <c r="V61" s="11" t="s">
        <v>17</v>
      </c>
      <c r="W61" s="2">
        <v>7</v>
      </c>
      <c r="X61" s="3">
        <v>0.74444444444444446</v>
      </c>
      <c r="Y61" s="3">
        <v>0</v>
      </c>
      <c r="Z61" s="3">
        <v>1</v>
      </c>
      <c r="AA61" s="3">
        <v>1</v>
      </c>
      <c r="AB61" s="3">
        <v>0</v>
      </c>
      <c r="AC61" s="3">
        <v>0</v>
      </c>
      <c r="AD61" s="3">
        <v>1</v>
      </c>
      <c r="AE61" s="2">
        <v>9.8699999999999974</v>
      </c>
      <c r="AF61" s="2">
        <v>81.294680929659833</v>
      </c>
      <c r="AG61" s="11" t="s">
        <v>18</v>
      </c>
      <c r="AH61" s="2">
        <v>7</v>
      </c>
      <c r="AI61" s="3">
        <v>0.46666666666666679</v>
      </c>
      <c r="AJ61" s="3">
        <v>1</v>
      </c>
      <c r="AK61" s="3">
        <v>0</v>
      </c>
      <c r="AL61" s="3">
        <v>1</v>
      </c>
      <c r="AM61" s="3">
        <v>0</v>
      </c>
      <c r="AN61" s="3">
        <v>0</v>
      </c>
      <c r="AO61" s="3">
        <v>1</v>
      </c>
      <c r="AP61" s="2">
        <v>11.519999999999996</v>
      </c>
      <c r="AQ61" s="2">
        <v>61.273391796739972</v>
      </c>
      <c r="AR61" s="11" t="s">
        <v>19</v>
      </c>
    </row>
    <row r="62" spans="1:44" x14ac:dyDescent="0.4">
      <c r="A62" s="2">
        <v>8</v>
      </c>
      <c r="B62" s="3">
        <v>0</v>
      </c>
      <c r="C62" s="3">
        <v>1</v>
      </c>
      <c r="D62" s="3">
        <v>0</v>
      </c>
      <c r="E62" s="3">
        <v>0</v>
      </c>
      <c r="F62" s="3">
        <v>1</v>
      </c>
      <c r="G62" s="3">
        <v>0</v>
      </c>
      <c r="H62" s="3">
        <v>8.333333333333337E-2</v>
      </c>
      <c r="I62" s="2">
        <v>3.9500000000000011</v>
      </c>
      <c r="J62" s="2">
        <v>30.432777250991808</v>
      </c>
      <c r="K62" s="12"/>
      <c r="L62" s="2">
        <v>8</v>
      </c>
      <c r="M62" s="3">
        <v>0</v>
      </c>
      <c r="N62" s="3">
        <v>1</v>
      </c>
      <c r="O62" s="3">
        <v>0</v>
      </c>
      <c r="P62" s="3">
        <v>0</v>
      </c>
      <c r="Q62" s="3">
        <v>1</v>
      </c>
      <c r="R62" s="3">
        <v>0</v>
      </c>
      <c r="S62" s="3">
        <v>8.333333333333337E-2</v>
      </c>
      <c r="T62" s="2">
        <v>3.9500000000000011</v>
      </c>
      <c r="U62" s="2">
        <v>30.432777250991808</v>
      </c>
      <c r="V62" s="12"/>
      <c r="W62" s="2">
        <v>8</v>
      </c>
      <c r="X62" s="3">
        <v>0.5</v>
      </c>
      <c r="Y62" s="3">
        <v>0</v>
      </c>
      <c r="Z62" s="3">
        <v>0</v>
      </c>
      <c r="AA62" s="3">
        <v>0</v>
      </c>
      <c r="AB62" s="3">
        <v>1</v>
      </c>
      <c r="AC62" s="3">
        <v>0</v>
      </c>
      <c r="AD62" s="3">
        <v>0</v>
      </c>
      <c r="AE62" s="2">
        <v>2.1999999999999993</v>
      </c>
      <c r="AF62" s="2">
        <v>39.178683168491688</v>
      </c>
      <c r="AG62" s="12"/>
      <c r="AH62" s="2">
        <v>8</v>
      </c>
      <c r="AI62" s="3">
        <v>0</v>
      </c>
      <c r="AJ62" s="3">
        <v>1</v>
      </c>
      <c r="AK62" s="3">
        <v>0</v>
      </c>
      <c r="AL62" s="3">
        <v>0</v>
      </c>
      <c r="AM62" s="3">
        <v>1</v>
      </c>
      <c r="AN62" s="3">
        <v>0</v>
      </c>
      <c r="AO62" s="3">
        <v>8.333333333333337E-2</v>
      </c>
      <c r="AP62" s="2">
        <v>3.9500000000000011</v>
      </c>
      <c r="AQ62" s="2">
        <v>30.432777250991808</v>
      </c>
      <c r="AR62" s="12"/>
    </row>
    <row r="63" spans="1:44" x14ac:dyDescent="0.4">
      <c r="A63" s="2">
        <v>9</v>
      </c>
      <c r="B63" s="3">
        <v>0.8421052631578948</v>
      </c>
      <c r="C63" s="3">
        <v>1</v>
      </c>
      <c r="D63" s="3">
        <v>0</v>
      </c>
      <c r="E63" s="3">
        <v>0</v>
      </c>
      <c r="F63" s="3">
        <v>1</v>
      </c>
      <c r="G63" s="3">
        <v>0</v>
      </c>
      <c r="H63" s="3">
        <v>1</v>
      </c>
      <c r="I63" s="2">
        <v>5.9499999999999993</v>
      </c>
      <c r="J63" s="2">
        <v>82.504504072529755</v>
      </c>
      <c r="K63" s="12"/>
      <c r="L63" s="2">
        <v>9</v>
      </c>
      <c r="M63" s="3">
        <v>0</v>
      </c>
      <c r="N63" s="3">
        <v>1</v>
      </c>
      <c r="O63" s="3">
        <v>0</v>
      </c>
      <c r="P63" s="3">
        <v>0</v>
      </c>
      <c r="Q63" s="3">
        <v>1</v>
      </c>
      <c r="R63" s="3">
        <v>0</v>
      </c>
      <c r="S63" s="3">
        <v>5.8823529411764608E-2</v>
      </c>
      <c r="T63" s="2">
        <v>5.1499999999999932</v>
      </c>
      <c r="U63" s="2">
        <v>31.989007833450742</v>
      </c>
      <c r="V63" s="12"/>
      <c r="W63" s="2">
        <v>9</v>
      </c>
      <c r="X63" s="3">
        <v>1</v>
      </c>
      <c r="Y63" s="3">
        <v>0</v>
      </c>
      <c r="Z63" s="3">
        <v>0</v>
      </c>
      <c r="AA63" s="3">
        <v>0</v>
      </c>
      <c r="AB63" s="3">
        <v>1</v>
      </c>
      <c r="AC63" s="3">
        <v>0</v>
      </c>
      <c r="AD63" s="3">
        <v>0.47058823529411764</v>
      </c>
      <c r="AE63" s="2">
        <v>3.6999999999999993</v>
      </c>
      <c r="AF63" s="2">
        <v>59.987151783906334</v>
      </c>
      <c r="AG63" s="12"/>
      <c r="AH63" s="2">
        <v>9</v>
      </c>
      <c r="AI63" s="3">
        <v>0.8421052631578948</v>
      </c>
      <c r="AJ63" s="3">
        <v>1</v>
      </c>
      <c r="AK63" s="3">
        <v>0</v>
      </c>
      <c r="AL63" s="3">
        <v>0</v>
      </c>
      <c r="AM63" s="3">
        <v>1</v>
      </c>
      <c r="AN63" s="3">
        <v>0</v>
      </c>
      <c r="AO63" s="3">
        <v>1</v>
      </c>
      <c r="AP63" s="2">
        <v>5.9499999999999993</v>
      </c>
      <c r="AQ63" s="2">
        <v>82.504504072529755</v>
      </c>
      <c r="AR63" s="12"/>
    </row>
    <row r="64" spans="1:44" x14ac:dyDescent="0.4">
      <c r="A64" s="2">
        <v>10</v>
      </c>
      <c r="B64" s="5">
        <v>0.41889416760745557</v>
      </c>
      <c r="C64" s="3">
        <v>1</v>
      </c>
      <c r="D64" s="6">
        <v>0.56760999838721893</v>
      </c>
      <c r="E64" s="3">
        <v>1</v>
      </c>
      <c r="F64" s="3">
        <v>1</v>
      </c>
      <c r="G64" s="3">
        <v>0</v>
      </c>
      <c r="H64" s="3">
        <v>1</v>
      </c>
      <c r="I64" s="2">
        <v>18.605346002257907</v>
      </c>
      <c r="J64" s="2">
        <v>57</v>
      </c>
      <c r="K64" s="12"/>
      <c r="L64" s="2">
        <v>10</v>
      </c>
      <c r="M64" s="3">
        <v>0</v>
      </c>
      <c r="N64" s="3">
        <v>1</v>
      </c>
      <c r="O64" s="3">
        <v>1</v>
      </c>
      <c r="P64" s="3">
        <v>1</v>
      </c>
      <c r="Q64" s="3">
        <v>0.63636363636363646</v>
      </c>
      <c r="R64" s="3">
        <v>0</v>
      </c>
      <c r="S64" s="3">
        <v>1</v>
      </c>
      <c r="T64" s="2">
        <v>17.000000000000004</v>
      </c>
      <c r="U64" s="2">
        <v>66.370204212131853</v>
      </c>
      <c r="V64" s="12"/>
      <c r="W64" s="2">
        <v>10</v>
      </c>
      <c r="X64" s="3">
        <v>0.80873841248391676</v>
      </c>
      <c r="Y64" s="3">
        <v>0</v>
      </c>
      <c r="Z64" s="3">
        <v>0.75644843574185683</v>
      </c>
      <c r="AA64" s="3">
        <v>1</v>
      </c>
      <c r="AB64" s="3">
        <v>1</v>
      </c>
      <c r="AC64" s="3">
        <v>0</v>
      </c>
      <c r="AD64" s="3">
        <v>1</v>
      </c>
      <c r="AE64" s="2">
        <v>13.540972189961398</v>
      </c>
      <c r="AF64" s="2">
        <v>57</v>
      </c>
      <c r="AG64" s="12"/>
      <c r="AH64" s="2">
        <v>10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2">
        <v>0</v>
      </c>
      <c r="AQ64" s="2">
        <v>0</v>
      </c>
      <c r="AR64" s="12"/>
    </row>
    <row r="65" spans="1:44" x14ac:dyDescent="0.4">
      <c r="A65" s="2">
        <v>11</v>
      </c>
      <c r="B65" s="3">
        <v>0</v>
      </c>
      <c r="C65" s="3">
        <v>1</v>
      </c>
      <c r="D65" s="3">
        <v>0</v>
      </c>
      <c r="E65" s="3">
        <v>0.4285714285714286</v>
      </c>
      <c r="F65" s="3">
        <v>0</v>
      </c>
      <c r="G65" s="3">
        <v>0</v>
      </c>
      <c r="H65" s="3">
        <v>1</v>
      </c>
      <c r="I65" s="2">
        <v>11.249999999999998</v>
      </c>
      <c r="J65" s="2">
        <v>45.476281756890593</v>
      </c>
      <c r="K65" s="12"/>
      <c r="L65" s="2">
        <v>11</v>
      </c>
      <c r="M65" s="3">
        <v>0</v>
      </c>
      <c r="N65" s="3">
        <v>1</v>
      </c>
      <c r="O65" s="3">
        <v>0</v>
      </c>
      <c r="P65" s="3">
        <v>0.4285714285714286</v>
      </c>
      <c r="Q65" s="3">
        <v>0</v>
      </c>
      <c r="R65" s="3">
        <v>0</v>
      </c>
      <c r="S65" s="3">
        <v>1</v>
      </c>
      <c r="T65" s="2">
        <v>11.249999999999998</v>
      </c>
      <c r="U65" s="2">
        <v>45.476281756890593</v>
      </c>
      <c r="V65" s="12"/>
      <c r="W65" s="2">
        <v>11</v>
      </c>
      <c r="X65" s="3">
        <v>0</v>
      </c>
      <c r="Y65" s="3">
        <v>0</v>
      </c>
      <c r="Z65" s="3">
        <v>0.5</v>
      </c>
      <c r="AA65" s="3">
        <v>0</v>
      </c>
      <c r="AB65" s="3">
        <v>0</v>
      </c>
      <c r="AC65" s="3">
        <v>0</v>
      </c>
      <c r="AD65" s="3">
        <v>1</v>
      </c>
      <c r="AE65" s="2">
        <v>4.5</v>
      </c>
      <c r="AF65" s="2">
        <v>36.379602624665104</v>
      </c>
      <c r="AG65" s="12"/>
      <c r="AH65" s="2">
        <v>11</v>
      </c>
      <c r="AI65" s="3">
        <v>0</v>
      </c>
      <c r="AJ65" s="3">
        <v>1</v>
      </c>
      <c r="AK65" s="3">
        <v>0</v>
      </c>
      <c r="AL65" s="3">
        <v>0.4285714285714286</v>
      </c>
      <c r="AM65" s="3">
        <v>0</v>
      </c>
      <c r="AN65" s="3">
        <v>0</v>
      </c>
      <c r="AO65" s="3">
        <v>1</v>
      </c>
      <c r="AP65" s="2">
        <v>11.249999999999998</v>
      </c>
      <c r="AQ65" s="2">
        <v>45.476281756890593</v>
      </c>
      <c r="AR65" s="12"/>
    </row>
    <row r="66" spans="1:44" x14ac:dyDescent="0.4">
      <c r="A66" s="2">
        <v>12</v>
      </c>
      <c r="B66" s="3">
        <v>1</v>
      </c>
      <c r="C66" s="3">
        <v>0.73333333333333339</v>
      </c>
      <c r="D66" s="3">
        <v>0</v>
      </c>
      <c r="E66" s="3">
        <v>1</v>
      </c>
      <c r="F66" s="3">
        <v>0</v>
      </c>
      <c r="G66" s="3">
        <v>1</v>
      </c>
      <c r="H66" s="3">
        <v>1</v>
      </c>
      <c r="I66" s="2">
        <v>31.1</v>
      </c>
      <c r="J66" s="2">
        <v>82.538494441416248</v>
      </c>
      <c r="K66" s="12"/>
      <c r="L66" s="2">
        <v>12</v>
      </c>
      <c r="M66" s="3">
        <v>0</v>
      </c>
      <c r="N66" s="3">
        <v>1</v>
      </c>
      <c r="O66" s="3">
        <v>1</v>
      </c>
      <c r="P66" s="3">
        <v>1</v>
      </c>
      <c r="Q66" s="3">
        <v>0</v>
      </c>
      <c r="R66" s="3">
        <v>1</v>
      </c>
      <c r="S66" s="3">
        <v>0.57142857142857129</v>
      </c>
      <c r="T66" s="2">
        <v>22.3</v>
      </c>
      <c r="U66" s="2">
        <v>83.764043275608074</v>
      </c>
      <c r="V66" s="12"/>
      <c r="W66" s="2">
        <v>12</v>
      </c>
      <c r="X66" s="3">
        <v>1</v>
      </c>
      <c r="Y66" s="3">
        <v>0</v>
      </c>
      <c r="Z66" s="3">
        <v>0.91666666666666674</v>
      </c>
      <c r="AA66" s="3">
        <v>1</v>
      </c>
      <c r="AB66" s="3">
        <v>0</v>
      </c>
      <c r="AC66" s="3">
        <v>1</v>
      </c>
      <c r="AD66" s="3">
        <v>1</v>
      </c>
      <c r="AE66" s="2">
        <v>29.449999999999996</v>
      </c>
      <c r="AF66" s="2">
        <v>79.303092851619866</v>
      </c>
      <c r="AG66" s="12"/>
      <c r="AH66" s="2">
        <v>12</v>
      </c>
      <c r="AI66" s="3">
        <v>1</v>
      </c>
      <c r="AJ66" s="3">
        <v>0.73333333333333339</v>
      </c>
      <c r="AK66" s="3">
        <v>0</v>
      </c>
      <c r="AL66" s="3">
        <v>1</v>
      </c>
      <c r="AM66" s="3">
        <v>0</v>
      </c>
      <c r="AN66" s="3">
        <v>1</v>
      </c>
      <c r="AO66" s="3">
        <v>1</v>
      </c>
      <c r="AP66" s="2">
        <v>31.1</v>
      </c>
      <c r="AQ66" s="2">
        <v>82.538494441416248</v>
      </c>
      <c r="AR66" s="12"/>
    </row>
    <row r="67" spans="1:44" x14ac:dyDescent="0.4">
      <c r="A67" s="2">
        <v>13</v>
      </c>
      <c r="B67" s="3">
        <v>1</v>
      </c>
      <c r="C67" s="3">
        <v>0</v>
      </c>
      <c r="D67" s="3">
        <v>1</v>
      </c>
      <c r="E67" s="3">
        <v>1</v>
      </c>
      <c r="F67" s="3">
        <v>0.74999999999999978</v>
      </c>
      <c r="G67" s="3">
        <v>0</v>
      </c>
      <c r="H67" s="3">
        <v>1</v>
      </c>
      <c r="I67" s="2">
        <v>14.849999999999998</v>
      </c>
      <c r="J67" s="2">
        <v>75.075823489688105</v>
      </c>
      <c r="K67" s="12"/>
      <c r="L67" s="2">
        <v>13</v>
      </c>
      <c r="M67" s="3">
        <v>0</v>
      </c>
      <c r="N67" s="3">
        <v>0.625</v>
      </c>
      <c r="O67" s="3">
        <v>1</v>
      </c>
      <c r="P67" s="3">
        <v>1</v>
      </c>
      <c r="Q67" s="3">
        <v>0</v>
      </c>
      <c r="R67" s="3">
        <v>0</v>
      </c>
      <c r="S67" s="3">
        <v>1</v>
      </c>
      <c r="T67" s="2">
        <v>13.399999999999991</v>
      </c>
      <c r="U67" s="2">
        <v>68.927703189141326</v>
      </c>
      <c r="V67" s="12"/>
      <c r="W67" s="2">
        <v>13</v>
      </c>
      <c r="X67" s="3">
        <v>1</v>
      </c>
      <c r="Y67" s="3">
        <v>0</v>
      </c>
      <c r="Z67" s="3">
        <v>1</v>
      </c>
      <c r="AA67" s="3">
        <v>1</v>
      </c>
      <c r="AB67" s="3">
        <v>0.74999999999999978</v>
      </c>
      <c r="AC67" s="3">
        <v>0</v>
      </c>
      <c r="AD67" s="3">
        <v>1</v>
      </c>
      <c r="AE67" s="2">
        <v>14.849999999999998</v>
      </c>
      <c r="AF67" s="2">
        <v>75.075823489688105</v>
      </c>
      <c r="AG67" s="12"/>
      <c r="AH67" s="2">
        <v>13</v>
      </c>
      <c r="AI67" s="3">
        <v>1</v>
      </c>
      <c r="AJ67" s="3">
        <v>0.23812931437941015</v>
      </c>
      <c r="AK67" s="3">
        <v>0</v>
      </c>
      <c r="AL67" s="3">
        <v>1</v>
      </c>
      <c r="AM67" s="3">
        <v>6.750575250588009E-2</v>
      </c>
      <c r="AN67" s="3">
        <v>0</v>
      </c>
      <c r="AO67" s="3">
        <v>1</v>
      </c>
      <c r="AP67" s="2">
        <v>12.859496548496473</v>
      </c>
      <c r="AQ67" s="2">
        <v>43.339131157134069</v>
      </c>
      <c r="AR67" s="12"/>
    </row>
    <row r="68" spans="1:44" x14ac:dyDescent="0.4">
      <c r="A68" s="2">
        <v>14</v>
      </c>
      <c r="B68" s="3">
        <v>0.125</v>
      </c>
      <c r="C68" s="3">
        <v>0</v>
      </c>
      <c r="D68" s="3">
        <v>1</v>
      </c>
      <c r="E68" s="3">
        <v>0</v>
      </c>
      <c r="F68" s="3">
        <v>0</v>
      </c>
      <c r="G68" s="3">
        <v>0</v>
      </c>
      <c r="H68" s="3">
        <v>1</v>
      </c>
      <c r="I68" s="2">
        <v>8.4000000000000021</v>
      </c>
      <c r="J68" s="2">
        <v>51.506776482412484</v>
      </c>
      <c r="K68" s="12"/>
      <c r="L68" s="2">
        <v>14</v>
      </c>
      <c r="M68" s="3">
        <v>0</v>
      </c>
      <c r="N68" s="3">
        <v>0.15000000000000002</v>
      </c>
      <c r="O68" s="3">
        <v>1</v>
      </c>
      <c r="P68" s="3">
        <v>0</v>
      </c>
      <c r="Q68" s="3">
        <v>0</v>
      </c>
      <c r="R68" s="3">
        <v>0</v>
      </c>
      <c r="S68" s="3">
        <v>1</v>
      </c>
      <c r="T68" s="2">
        <v>8.25</v>
      </c>
      <c r="U68" s="2">
        <v>56.384109936816188</v>
      </c>
      <c r="V68" s="12"/>
      <c r="W68" s="2">
        <v>14</v>
      </c>
      <c r="X68" s="3">
        <v>0.125</v>
      </c>
      <c r="Y68" s="3">
        <v>0</v>
      </c>
      <c r="Z68" s="3">
        <v>1</v>
      </c>
      <c r="AA68" s="3">
        <v>0</v>
      </c>
      <c r="AB68" s="3">
        <v>0</v>
      </c>
      <c r="AC68" s="3">
        <v>0</v>
      </c>
      <c r="AD68" s="3">
        <v>1</v>
      </c>
      <c r="AE68" s="2">
        <v>8.4000000000000021</v>
      </c>
      <c r="AF68" s="2">
        <v>51.506776482412484</v>
      </c>
      <c r="AG68" s="12"/>
      <c r="AH68" s="2">
        <v>14</v>
      </c>
      <c r="AI68" s="3">
        <v>0.625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1</v>
      </c>
      <c r="AP68" s="2">
        <v>6</v>
      </c>
      <c r="AQ68" s="2">
        <v>31.94807177869572</v>
      </c>
      <c r="AR68" s="12"/>
    </row>
    <row r="69" spans="1:44" x14ac:dyDescent="0.4">
      <c r="A69" s="2">
        <v>15</v>
      </c>
      <c r="B69" s="3">
        <v>0</v>
      </c>
      <c r="C69" s="3">
        <v>1</v>
      </c>
      <c r="D69" s="3">
        <v>0</v>
      </c>
      <c r="E69" s="3">
        <v>0</v>
      </c>
      <c r="F69" s="3">
        <v>0</v>
      </c>
      <c r="G69" s="3">
        <v>0.41666666666666674</v>
      </c>
      <c r="H69" s="3">
        <v>1</v>
      </c>
      <c r="I69" s="2">
        <v>7.9000000000000092</v>
      </c>
      <c r="J69" s="2">
        <v>39.865352230316716</v>
      </c>
      <c r="K69" s="12"/>
      <c r="L69" s="2">
        <v>15</v>
      </c>
      <c r="M69" s="3">
        <v>0</v>
      </c>
      <c r="N69" s="3">
        <v>1</v>
      </c>
      <c r="O69" s="3">
        <v>0</v>
      </c>
      <c r="P69" s="3">
        <v>0</v>
      </c>
      <c r="Q69" s="3">
        <v>0</v>
      </c>
      <c r="R69" s="3">
        <v>0.41666666666666674</v>
      </c>
      <c r="S69" s="3">
        <v>1</v>
      </c>
      <c r="T69" s="2">
        <v>7.9000000000000092</v>
      </c>
      <c r="U69" s="2">
        <v>39.865352230316716</v>
      </c>
      <c r="V69" s="12"/>
      <c r="W69" s="2">
        <v>15</v>
      </c>
      <c r="X69" s="3">
        <v>5.5555555555555469E-2</v>
      </c>
      <c r="Y69" s="3">
        <v>0</v>
      </c>
      <c r="Z69" s="3">
        <v>1</v>
      </c>
      <c r="AA69" s="3">
        <v>0</v>
      </c>
      <c r="AB69" s="3">
        <v>0</v>
      </c>
      <c r="AC69" s="3">
        <v>0</v>
      </c>
      <c r="AD69" s="3">
        <v>1</v>
      </c>
      <c r="AE69" s="2">
        <v>5.100000000000005</v>
      </c>
      <c r="AF69" s="2">
        <v>50.075678278135314</v>
      </c>
      <c r="AG69" s="12"/>
      <c r="AH69" s="2">
        <v>15</v>
      </c>
      <c r="AI69" s="3">
        <v>0</v>
      </c>
      <c r="AJ69" s="3">
        <v>1</v>
      </c>
      <c r="AK69" s="3">
        <v>0</v>
      </c>
      <c r="AL69" s="3">
        <v>0</v>
      </c>
      <c r="AM69" s="3">
        <v>0</v>
      </c>
      <c r="AN69" s="3">
        <v>0.41666666666666674</v>
      </c>
      <c r="AO69" s="3">
        <v>1</v>
      </c>
      <c r="AP69" s="2">
        <v>7.9000000000000092</v>
      </c>
      <c r="AQ69" s="2">
        <v>39.865352230316716</v>
      </c>
      <c r="AR69" s="12"/>
    </row>
    <row r="70" spans="1:44" x14ac:dyDescent="0.4">
      <c r="A70" s="2">
        <v>16</v>
      </c>
      <c r="B70" s="3">
        <v>1</v>
      </c>
      <c r="C70" s="3">
        <v>1</v>
      </c>
      <c r="D70" s="3">
        <v>0</v>
      </c>
      <c r="E70" s="3">
        <v>1</v>
      </c>
      <c r="F70" s="3">
        <v>1</v>
      </c>
      <c r="G70" s="3">
        <v>0</v>
      </c>
      <c r="H70" s="3">
        <v>1</v>
      </c>
      <c r="I70" s="2">
        <v>5.1999999999999993</v>
      </c>
      <c r="J70" s="2">
        <v>73.460480618281196</v>
      </c>
      <c r="K70" s="12"/>
      <c r="L70" s="2">
        <v>16</v>
      </c>
      <c r="M70" s="3">
        <v>0</v>
      </c>
      <c r="N70" s="3">
        <v>1</v>
      </c>
      <c r="O70" s="3">
        <v>0</v>
      </c>
      <c r="P70" s="3">
        <v>0</v>
      </c>
      <c r="Q70" s="3">
        <v>0</v>
      </c>
      <c r="R70" s="3">
        <v>0</v>
      </c>
      <c r="S70" s="3">
        <v>1</v>
      </c>
      <c r="T70" s="2">
        <v>2.6000000000000014</v>
      </c>
      <c r="U70" s="2">
        <v>39.251924100444306</v>
      </c>
      <c r="V70" s="12"/>
      <c r="W70" s="2">
        <v>16</v>
      </c>
      <c r="X70" s="3">
        <v>1</v>
      </c>
      <c r="Y70" s="3">
        <v>0</v>
      </c>
      <c r="Z70" s="3">
        <v>0.10059628940117848</v>
      </c>
      <c r="AA70" s="3">
        <v>0.71746171920157142</v>
      </c>
      <c r="AB70" s="3">
        <v>0</v>
      </c>
      <c r="AC70" s="3">
        <v>0</v>
      </c>
      <c r="AD70" s="3">
        <v>1</v>
      </c>
      <c r="AE70" s="2">
        <v>2.7647526532696354</v>
      </c>
      <c r="AF70" s="2">
        <v>41.058127197795827</v>
      </c>
      <c r="AG70" s="12"/>
      <c r="AH70" s="2">
        <v>16</v>
      </c>
      <c r="AI70" s="3">
        <v>1</v>
      </c>
      <c r="AJ70" s="3">
        <v>1</v>
      </c>
      <c r="AK70" s="3">
        <v>0</v>
      </c>
      <c r="AL70" s="3">
        <v>1</v>
      </c>
      <c r="AM70" s="3">
        <v>1</v>
      </c>
      <c r="AN70" s="3">
        <v>0</v>
      </c>
      <c r="AO70" s="3">
        <v>1</v>
      </c>
      <c r="AP70" s="2">
        <v>5.1999999999999993</v>
      </c>
      <c r="AQ70" s="2">
        <v>73.460480618281196</v>
      </c>
      <c r="AR70" s="12"/>
    </row>
    <row r="71" spans="1:44" x14ac:dyDescent="0.4">
      <c r="A71" s="2">
        <v>17</v>
      </c>
      <c r="B71" s="3">
        <v>1</v>
      </c>
      <c r="C71" s="3">
        <v>1</v>
      </c>
      <c r="D71" s="3">
        <v>0</v>
      </c>
      <c r="E71" s="3">
        <v>0.66666666666666674</v>
      </c>
      <c r="F71" s="3">
        <v>1</v>
      </c>
      <c r="G71" s="3">
        <v>1</v>
      </c>
      <c r="H71" s="3">
        <v>1</v>
      </c>
      <c r="I71" s="2">
        <v>12.199999999999992</v>
      </c>
      <c r="J71" s="2">
        <v>108.83286073854867</v>
      </c>
      <c r="K71" s="12"/>
      <c r="L71" s="2">
        <v>17</v>
      </c>
      <c r="M71" s="3">
        <v>0</v>
      </c>
      <c r="N71" s="3">
        <v>1</v>
      </c>
      <c r="O71" s="3">
        <v>0</v>
      </c>
      <c r="P71" s="3">
        <v>0</v>
      </c>
      <c r="Q71" s="3">
        <v>1</v>
      </c>
      <c r="R71" s="3">
        <v>0</v>
      </c>
      <c r="S71" s="3">
        <v>0.30769230769230771</v>
      </c>
      <c r="T71" s="2">
        <v>6.35</v>
      </c>
      <c r="U71" s="2">
        <v>38.347094229552177</v>
      </c>
      <c r="V71" s="12"/>
      <c r="W71" s="2">
        <v>17</v>
      </c>
      <c r="X71" s="3">
        <v>1</v>
      </c>
      <c r="Y71" s="3">
        <v>0</v>
      </c>
      <c r="Z71" s="3">
        <v>0</v>
      </c>
      <c r="AA71" s="3">
        <v>0</v>
      </c>
      <c r="AB71" s="3">
        <v>1</v>
      </c>
      <c r="AC71" s="3">
        <v>0.54545454545454564</v>
      </c>
      <c r="AD71" s="3">
        <v>1</v>
      </c>
      <c r="AE71" s="2">
        <v>9.9000000000000021</v>
      </c>
      <c r="AF71" s="2">
        <v>70.485766508996505</v>
      </c>
      <c r="AG71" s="12"/>
      <c r="AH71" s="2">
        <v>17</v>
      </c>
      <c r="AI71" s="3">
        <v>1</v>
      </c>
      <c r="AJ71" s="3">
        <v>1</v>
      </c>
      <c r="AK71" s="3">
        <v>0</v>
      </c>
      <c r="AL71" s="3">
        <v>0.66666666666666674</v>
      </c>
      <c r="AM71" s="3">
        <v>1</v>
      </c>
      <c r="AN71" s="3">
        <v>1</v>
      </c>
      <c r="AO71" s="3">
        <v>1</v>
      </c>
      <c r="AP71" s="2">
        <v>12.199999999999992</v>
      </c>
      <c r="AQ71" s="2">
        <v>108.83286073854867</v>
      </c>
      <c r="AR71" s="12"/>
    </row>
    <row r="72" spans="1:44" x14ac:dyDescent="0.4">
      <c r="A72" s="2">
        <v>18</v>
      </c>
      <c r="B72" s="3">
        <v>0.88461538461538469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1</v>
      </c>
      <c r="I72" s="2">
        <v>13.099999999999994</v>
      </c>
      <c r="J72" s="2">
        <v>98.962740437281269</v>
      </c>
      <c r="K72" s="12"/>
      <c r="L72" s="2">
        <v>18</v>
      </c>
      <c r="M72" s="3">
        <v>0</v>
      </c>
      <c r="N72" s="3">
        <v>1</v>
      </c>
      <c r="O72" s="3">
        <v>0</v>
      </c>
      <c r="P72" s="3">
        <v>0</v>
      </c>
      <c r="Q72" s="3">
        <v>0</v>
      </c>
      <c r="R72" s="3">
        <v>0</v>
      </c>
      <c r="S72" s="3">
        <v>1</v>
      </c>
      <c r="T72" s="2">
        <v>7.1499999999999986</v>
      </c>
      <c r="U72" s="2">
        <v>41.991343804575763</v>
      </c>
      <c r="V72" s="12"/>
      <c r="W72" s="2">
        <v>18</v>
      </c>
      <c r="X72" s="3">
        <v>1</v>
      </c>
      <c r="Y72" s="3">
        <v>0</v>
      </c>
      <c r="Z72" s="3">
        <v>0</v>
      </c>
      <c r="AA72" s="3">
        <v>1</v>
      </c>
      <c r="AB72" s="3">
        <v>0</v>
      </c>
      <c r="AC72" s="3">
        <v>9.0909090909090828E-2</v>
      </c>
      <c r="AD72" s="3">
        <v>1</v>
      </c>
      <c r="AE72" s="2">
        <v>11.949999999999996</v>
      </c>
      <c r="AF72" s="2">
        <v>64.402448367406222</v>
      </c>
      <c r="AG72" s="12"/>
      <c r="AH72" s="2">
        <v>18</v>
      </c>
      <c r="AI72" s="3">
        <v>0.88461538461538469</v>
      </c>
      <c r="AJ72" s="3">
        <v>1</v>
      </c>
      <c r="AK72" s="3">
        <v>0</v>
      </c>
      <c r="AL72" s="3">
        <v>1</v>
      </c>
      <c r="AM72" s="3">
        <v>0</v>
      </c>
      <c r="AN72" s="3">
        <v>1</v>
      </c>
      <c r="AO72" s="3">
        <v>1</v>
      </c>
      <c r="AP72" s="2">
        <v>13.099999999999994</v>
      </c>
      <c r="AQ72" s="2">
        <v>98.962740437281269</v>
      </c>
      <c r="AR72" s="12"/>
    </row>
    <row r="73" spans="1:44" x14ac:dyDescent="0.4">
      <c r="A73" s="2">
        <v>19</v>
      </c>
      <c r="B73" s="3">
        <v>0</v>
      </c>
      <c r="C73" s="3">
        <v>1</v>
      </c>
      <c r="D73" s="3">
        <v>0.66666666666666652</v>
      </c>
      <c r="E73" s="3">
        <v>1</v>
      </c>
      <c r="F73" s="3">
        <v>1</v>
      </c>
      <c r="G73" s="3">
        <v>1</v>
      </c>
      <c r="H73" s="3">
        <v>0</v>
      </c>
      <c r="I73" s="2">
        <v>19.20000000000001</v>
      </c>
      <c r="J73" s="2">
        <v>95.662076780074997</v>
      </c>
      <c r="K73" s="12"/>
      <c r="L73" s="2">
        <v>19</v>
      </c>
      <c r="M73" s="3">
        <v>0</v>
      </c>
      <c r="N73" s="3">
        <v>1</v>
      </c>
      <c r="O73" s="3">
        <v>0.66666666666666652</v>
      </c>
      <c r="P73" s="3">
        <v>1</v>
      </c>
      <c r="Q73" s="3">
        <v>1</v>
      </c>
      <c r="R73" s="3">
        <v>1</v>
      </c>
      <c r="S73" s="3">
        <v>0</v>
      </c>
      <c r="T73" s="2">
        <v>19.20000000000001</v>
      </c>
      <c r="U73" s="2">
        <v>95.662076780074997</v>
      </c>
      <c r="V73" s="12"/>
      <c r="W73" s="2">
        <v>19</v>
      </c>
      <c r="X73" s="3">
        <v>0</v>
      </c>
      <c r="Y73" s="3">
        <v>0</v>
      </c>
      <c r="Z73" s="3">
        <v>1</v>
      </c>
      <c r="AA73" s="3">
        <v>0.66666666666666663</v>
      </c>
      <c r="AB73" s="3">
        <v>1</v>
      </c>
      <c r="AC73" s="3">
        <v>0</v>
      </c>
      <c r="AD73" s="3">
        <v>0</v>
      </c>
      <c r="AE73" s="2">
        <v>7.4500000000000028</v>
      </c>
      <c r="AF73" s="2">
        <v>46.685236220551076</v>
      </c>
      <c r="AG73" s="12"/>
      <c r="AH73" s="2">
        <v>19</v>
      </c>
      <c r="AI73" s="3">
        <v>0</v>
      </c>
      <c r="AJ73" s="3">
        <v>1</v>
      </c>
      <c r="AK73" s="3">
        <v>0</v>
      </c>
      <c r="AL73" s="3">
        <v>1</v>
      </c>
      <c r="AM73" s="3">
        <v>1</v>
      </c>
      <c r="AN73" s="3">
        <v>9.090909090909105E-2</v>
      </c>
      <c r="AO73" s="3">
        <v>0</v>
      </c>
      <c r="AP73" s="2">
        <v>14.700000000000012</v>
      </c>
      <c r="AQ73" s="2">
        <v>64.538585966374285</v>
      </c>
      <c r="AR73" s="12"/>
    </row>
    <row r="74" spans="1:44" x14ac:dyDescent="0.4">
      <c r="A74" s="2">
        <v>20</v>
      </c>
      <c r="B74" s="3">
        <v>1</v>
      </c>
      <c r="C74" s="3">
        <v>1</v>
      </c>
      <c r="D74" s="3">
        <v>0</v>
      </c>
      <c r="E74" s="3">
        <v>0</v>
      </c>
      <c r="F74" s="3">
        <v>1</v>
      </c>
      <c r="G74" s="3">
        <v>0.66666666666666674</v>
      </c>
      <c r="H74" s="3">
        <v>1</v>
      </c>
      <c r="I74" s="2">
        <v>7.100000000000005</v>
      </c>
      <c r="J74" s="2">
        <v>72.243254739863758</v>
      </c>
      <c r="K74" s="12"/>
      <c r="L74" s="2">
        <v>20</v>
      </c>
      <c r="M74" s="3">
        <v>0</v>
      </c>
      <c r="N74" s="3">
        <v>1</v>
      </c>
      <c r="O74" s="3">
        <v>0</v>
      </c>
      <c r="P74" s="3">
        <v>0</v>
      </c>
      <c r="Q74" s="3">
        <v>0</v>
      </c>
      <c r="R74" s="3">
        <v>0</v>
      </c>
      <c r="S74" s="3">
        <v>1</v>
      </c>
      <c r="T74" s="2">
        <v>3.8999999999999986</v>
      </c>
      <c r="U74" s="2">
        <v>34.294780537391034</v>
      </c>
      <c r="V74" s="12"/>
      <c r="W74" s="2">
        <v>20</v>
      </c>
      <c r="X74" s="3">
        <v>1</v>
      </c>
      <c r="Y74" s="3">
        <v>0</v>
      </c>
      <c r="Z74" s="3">
        <v>0</v>
      </c>
      <c r="AA74" s="3">
        <v>0</v>
      </c>
      <c r="AB74" s="3">
        <v>0.5</v>
      </c>
      <c r="AC74" s="3">
        <v>0</v>
      </c>
      <c r="AD74" s="3">
        <v>1</v>
      </c>
      <c r="AE74" s="2">
        <v>6.2000000000000028</v>
      </c>
      <c r="AF74" s="2">
        <v>37.948474202472724</v>
      </c>
      <c r="AG74" s="12"/>
      <c r="AH74" s="2">
        <v>20</v>
      </c>
      <c r="AI74" s="3">
        <v>1</v>
      </c>
      <c r="AJ74" s="3">
        <v>1</v>
      </c>
      <c r="AK74" s="3">
        <v>0</v>
      </c>
      <c r="AL74" s="3">
        <v>1</v>
      </c>
      <c r="AM74" s="3">
        <v>1</v>
      </c>
      <c r="AN74" s="3">
        <v>0</v>
      </c>
      <c r="AO74" s="3">
        <v>1</v>
      </c>
      <c r="AP74" s="2">
        <v>7.100000000000005</v>
      </c>
      <c r="AQ74" s="2">
        <v>72.243254739863758</v>
      </c>
      <c r="AR74" s="12"/>
    </row>
    <row r="75" spans="1:44" x14ac:dyDescent="0.4">
      <c r="A75" s="2">
        <v>21</v>
      </c>
      <c r="B75" s="3">
        <v>0</v>
      </c>
      <c r="C75" s="3">
        <v>0</v>
      </c>
      <c r="D75" s="6">
        <v>1</v>
      </c>
      <c r="E75" s="3">
        <v>0</v>
      </c>
      <c r="F75" s="3">
        <v>0.33333333333333348</v>
      </c>
      <c r="G75" s="3">
        <v>0</v>
      </c>
      <c r="H75" s="3">
        <v>1</v>
      </c>
      <c r="I75" s="2">
        <v>3.2500000000000036</v>
      </c>
      <c r="J75" s="2">
        <v>74.539657792016342</v>
      </c>
      <c r="K75" s="12"/>
      <c r="L75" s="2">
        <v>21</v>
      </c>
      <c r="M75" s="3">
        <v>0</v>
      </c>
      <c r="N75" s="3">
        <v>0</v>
      </c>
      <c r="O75" s="3">
        <v>0.8125</v>
      </c>
      <c r="P75" s="3">
        <v>0</v>
      </c>
      <c r="Q75" s="3">
        <v>0</v>
      </c>
      <c r="R75" s="3">
        <v>0</v>
      </c>
      <c r="S75" s="3">
        <v>1</v>
      </c>
      <c r="T75" s="2">
        <v>3.25</v>
      </c>
      <c r="U75" s="2">
        <v>60.563471956013281</v>
      </c>
      <c r="V75" s="12"/>
      <c r="W75" s="2">
        <v>21</v>
      </c>
      <c r="X75" s="3">
        <v>0</v>
      </c>
      <c r="Y75" s="3">
        <v>0</v>
      </c>
      <c r="Z75" s="3">
        <v>0.8125</v>
      </c>
      <c r="AA75" s="3">
        <v>0</v>
      </c>
      <c r="AB75" s="3">
        <v>0</v>
      </c>
      <c r="AC75" s="3">
        <v>0</v>
      </c>
      <c r="AD75" s="3">
        <v>1</v>
      </c>
      <c r="AE75" s="2">
        <v>3.25</v>
      </c>
      <c r="AF75" s="2">
        <v>60.563471956013281</v>
      </c>
      <c r="AG75" s="12"/>
      <c r="AH75" s="2">
        <v>21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2">
        <v>0</v>
      </c>
      <c r="AQ75" s="2">
        <v>0</v>
      </c>
      <c r="AR75" s="12"/>
    </row>
    <row r="76" spans="1:44" x14ac:dyDescent="0.4">
      <c r="A76" s="2">
        <v>22</v>
      </c>
      <c r="B76" s="3">
        <v>0</v>
      </c>
      <c r="C76" s="3">
        <v>0.11764705882352944</v>
      </c>
      <c r="D76" s="3">
        <v>1</v>
      </c>
      <c r="E76" s="3">
        <v>0</v>
      </c>
      <c r="F76" s="3">
        <v>0</v>
      </c>
      <c r="G76" s="3">
        <v>0</v>
      </c>
      <c r="H76" s="3">
        <v>1</v>
      </c>
      <c r="I76" s="2">
        <v>5.1999999999999957</v>
      </c>
      <c r="J76" s="2">
        <v>44.084509691989595</v>
      </c>
      <c r="K76" s="12"/>
      <c r="L76" s="2">
        <v>22</v>
      </c>
      <c r="M76" s="3">
        <v>0</v>
      </c>
      <c r="N76" s="3">
        <v>0.11764705882352944</v>
      </c>
      <c r="O76" s="3">
        <v>1</v>
      </c>
      <c r="P76" s="3">
        <v>0</v>
      </c>
      <c r="Q76" s="3">
        <v>0</v>
      </c>
      <c r="R76" s="3">
        <v>0</v>
      </c>
      <c r="S76" s="3">
        <v>1</v>
      </c>
      <c r="T76" s="2">
        <v>5.1999999999999957</v>
      </c>
      <c r="U76" s="2">
        <v>44.084509691989595</v>
      </c>
      <c r="V76" s="12"/>
      <c r="W76" s="2">
        <v>22</v>
      </c>
      <c r="X76" s="3">
        <v>0</v>
      </c>
      <c r="Y76" s="3">
        <v>0</v>
      </c>
      <c r="Z76" s="3">
        <v>1</v>
      </c>
      <c r="AA76" s="3">
        <v>0</v>
      </c>
      <c r="AB76" s="3">
        <v>0</v>
      </c>
      <c r="AC76" s="3">
        <v>0</v>
      </c>
      <c r="AD76" s="3">
        <v>0.8571428571428571</v>
      </c>
      <c r="AE76" s="2">
        <v>4.7999999999999972</v>
      </c>
      <c r="AF76" s="2">
        <v>38.108388711198636</v>
      </c>
      <c r="AG76" s="12"/>
      <c r="AH76" s="2">
        <v>22</v>
      </c>
      <c r="AI76" s="3">
        <v>0</v>
      </c>
      <c r="AJ76" s="3">
        <v>0.82352941176470584</v>
      </c>
      <c r="AK76" s="3">
        <v>0</v>
      </c>
      <c r="AL76" s="3">
        <v>0</v>
      </c>
      <c r="AM76" s="3">
        <v>0</v>
      </c>
      <c r="AN76" s="3">
        <v>0</v>
      </c>
      <c r="AO76" s="3">
        <v>1</v>
      </c>
      <c r="AP76" s="2">
        <v>2.8000000000000007</v>
      </c>
      <c r="AQ76" s="2">
        <v>41.832846865536723</v>
      </c>
      <c r="AR76" s="12"/>
    </row>
    <row r="77" spans="1:44" x14ac:dyDescent="0.4">
      <c r="A77" s="2">
        <v>23</v>
      </c>
      <c r="B77" s="3">
        <v>0.36666666666666659</v>
      </c>
      <c r="C77" s="3">
        <v>1</v>
      </c>
      <c r="D77" s="3">
        <v>1</v>
      </c>
      <c r="E77" s="3">
        <v>0</v>
      </c>
      <c r="F77" s="3">
        <v>1</v>
      </c>
      <c r="G77" s="3">
        <v>1</v>
      </c>
      <c r="H77" s="3">
        <v>1</v>
      </c>
      <c r="I77" s="2">
        <v>6.2800000000000082</v>
      </c>
      <c r="J77" s="2">
        <v>114.13404181293295</v>
      </c>
      <c r="K77" s="12"/>
      <c r="L77" s="2">
        <v>23</v>
      </c>
      <c r="M77" s="3">
        <v>0</v>
      </c>
      <c r="N77" s="3">
        <v>1</v>
      </c>
      <c r="O77" s="3">
        <v>1</v>
      </c>
      <c r="P77" s="3">
        <v>0</v>
      </c>
      <c r="Q77" s="3">
        <v>1</v>
      </c>
      <c r="R77" s="3">
        <v>1</v>
      </c>
      <c r="S77" s="3">
        <v>0.51470588235294112</v>
      </c>
      <c r="T77" s="2">
        <v>5.9500000000000011</v>
      </c>
      <c r="U77" s="2">
        <v>97.055765358689357</v>
      </c>
      <c r="V77" s="12"/>
      <c r="W77" s="2">
        <v>23</v>
      </c>
      <c r="X77" s="3">
        <v>1</v>
      </c>
      <c r="Y77" s="3">
        <v>0</v>
      </c>
      <c r="Z77" s="3">
        <v>1</v>
      </c>
      <c r="AA77" s="3">
        <v>0</v>
      </c>
      <c r="AB77" s="3">
        <v>1</v>
      </c>
      <c r="AC77" s="3">
        <v>1</v>
      </c>
      <c r="AD77" s="3">
        <v>0.73529411764705865</v>
      </c>
      <c r="AE77" s="2">
        <v>6.1000000000000014</v>
      </c>
      <c r="AF77" s="2">
        <v>92.86757830470647</v>
      </c>
      <c r="AG77" s="12"/>
      <c r="AH77" s="2">
        <v>23</v>
      </c>
      <c r="AI77" s="3">
        <v>1</v>
      </c>
      <c r="AJ77" s="3">
        <v>1</v>
      </c>
      <c r="AK77" s="3">
        <v>0</v>
      </c>
      <c r="AL77" s="3">
        <v>0</v>
      </c>
      <c r="AM77" s="3">
        <v>1</v>
      </c>
      <c r="AN77" s="3">
        <v>1</v>
      </c>
      <c r="AO77" s="3">
        <v>0.95588235294117641</v>
      </c>
      <c r="AP77" s="2">
        <v>5.6499999999999986</v>
      </c>
      <c r="AQ77" s="2">
        <v>97.342422258948005</v>
      </c>
      <c r="AR77" s="12"/>
    </row>
    <row r="78" spans="1:44" ht="15" x14ac:dyDescent="0.4">
      <c r="A78" s="1" t="s">
        <v>14</v>
      </c>
      <c r="B78" s="3">
        <v>475.61891271195037</v>
      </c>
      <c r="C78" s="3">
        <v>426.94999999999993</v>
      </c>
      <c r="D78" s="3">
        <v>254.25130466255675</v>
      </c>
      <c r="I78" s="4">
        <f>SUM(I54:I77)</f>
        <v>246.91437785160142</v>
      </c>
      <c r="J78" s="4">
        <f>SUM(J54:J77)</f>
        <v>1723.1848056875442</v>
      </c>
      <c r="K78" s="12"/>
      <c r="L78" s="1" t="s">
        <v>14</v>
      </c>
      <c r="M78" s="3">
        <v>0</v>
      </c>
      <c r="N78" s="3">
        <v>514.99</v>
      </c>
      <c r="O78" s="3">
        <v>305.15000000000003</v>
      </c>
      <c r="P78" s="3"/>
      <c r="Q78" s="3"/>
      <c r="R78" s="3"/>
      <c r="S78" s="3"/>
      <c r="T78" s="4">
        <f>SUM(T54:T77)</f>
        <v>196.71999999999997</v>
      </c>
      <c r="U78" s="4">
        <f>SUM(U54:U77)</f>
        <v>1410.0217103366613</v>
      </c>
      <c r="V78" s="12"/>
      <c r="W78" s="1" t="s">
        <v>14</v>
      </c>
      <c r="X78" s="3">
        <v>588.26622901701478</v>
      </c>
      <c r="Y78" s="3">
        <v>0</v>
      </c>
      <c r="Z78" s="3">
        <v>387.18703932215396</v>
      </c>
      <c r="AA78" s="3"/>
      <c r="AB78" s="3"/>
      <c r="AC78" s="3"/>
      <c r="AD78" s="3"/>
      <c r="AE78" s="4">
        <f>SUM(AE54:AE77)</f>
        <v>188.33133766979083</v>
      </c>
      <c r="AF78" s="4">
        <f>SUM(AF54:AF77)</f>
        <v>1394.7676870105572</v>
      </c>
      <c r="AG78" s="12"/>
      <c r="AH78" s="1" t="s">
        <v>14</v>
      </c>
      <c r="AI78" s="3">
        <v>517.0021301824388</v>
      </c>
      <c r="AJ78" s="3">
        <v>495.96889545520082</v>
      </c>
      <c r="AK78" s="3">
        <v>0</v>
      </c>
      <c r="AL78" s="3"/>
      <c r="AM78" s="3"/>
      <c r="AN78" s="3"/>
      <c r="AO78" s="3"/>
      <c r="AP78" s="4">
        <f>SUM(AP54:AP77)</f>
        <v>204.17552547792735</v>
      </c>
      <c r="AQ78" s="4">
        <f>SUM(AQ54:AQ77)</f>
        <v>1401.3057138480294</v>
      </c>
      <c r="AR78" s="12"/>
    </row>
  </sheetData>
  <mergeCells count="9">
    <mergeCell ref="AR61:AR78"/>
    <mergeCell ref="K9:K26"/>
    <mergeCell ref="K61:K78"/>
    <mergeCell ref="V61:V78"/>
    <mergeCell ref="K35:K52"/>
    <mergeCell ref="AG61:AG78"/>
    <mergeCell ref="AR35:AR52"/>
    <mergeCell ref="AG35:AG52"/>
    <mergeCell ref="V35:V5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613F-E336-471A-B808-39AB9AC8FD13}">
  <dimension ref="A1:J10"/>
  <sheetViews>
    <sheetView tabSelected="1" topLeftCell="B1" zoomScale="235" zoomScaleNormal="235" workbookViewId="0">
      <selection activeCell="H8" sqref="H8"/>
    </sheetView>
  </sheetViews>
  <sheetFormatPr defaultRowHeight="13.9" x14ac:dyDescent="0.4"/>
  <cols>
    <col min="1" max="1" width="5.9296875" style="8" bestFit="1" customWidth="1"/>
    <col min="2" max="5" width="7.86328125" style="8" bestFit="1" customWidth="1"/>
    <col min="6" max="6" width="1.796875" style="8" customWidth="1"/>
    <col min="7" max="7" width="5.06640625" style="8" bestFit="1" customWidth="1"/>
    <col min="8" max="8" width="18.86328125" style="8" bestFit="1" customWidth="1"/>
    <col min="9" max="9" width="8.6640625" style="8" bestFit="1" customWidth="1"/>
    <col min="10" max="10" width="7.86328125" style="8" bestFit="1" customWidth="1"/>
    <col min="11" max="16384" width="9.06640625" style="8"/>
  </cols>
  <sheetData>
    <row r="1" spans="1:10" s="3" customFormat="1" x14ac:dyDescent="0.4">
      <c r="A1" s="3" t="s">
        <v>12</v>
      </c>
      <c r="B1" s="7" t="s">
        <v>20</v>
      </c>
      <c r="C1" s="7" t="s">
        <v>21</v>
      </c>
      <c r="D1" s="7" t="s">
        <v>22</v>
      </c>
      <c r="E1" s="7" t="s">
        <v>23</v>
      </c>
      <c r="F1" s="7"/>
      <c r="H1" s="7" t="s">
        <v>25</v>
      </c>
      <c r="I1" s="7" t="s">
        <v>27</v>
      </c>
      <c r="J1" s="7" t="s">
        <v>29</v>
      </c>
    </row>
    <row r="2" spans="1:10" x14ac:dyDescent="0.4">
      <c r="A2" s="8">
        <v>0</v>
      </c>
      <c r="B2" s="3">
        <v>249</v>
      </c>
      <c r="C2" s="8">
        <v>197</v>
      </c>
      <c r="D2" s="8">
        <v>195</v>
      </c>
      <c r="E2" s="8">
        <v>228</v>
      </c>
      <c r="G2" s="8" t="s">
        <v>14</v>
      </c>
      <c r="H2" s="3">
        <v>514.71</v>
      </c>
      <c r="I2" s="3">
        <v>426.94999999999993</v>
      </c>
      <c r="J2" s="3">
        <v>207.30999999999997</v>
      </c>
    </row>
    <row r="3" spans="1:10" x14ac:dyDescent="0.4">
      <c r="A3" s="8">
        <v>0.38</v>
      </c>
      <c r="B3" s="3">
        <v>247</v>
      </c>
      <c r="C3" s="8">
        <v>197</v>
      </c>
      <c r="D3" s="8">
        <v>188</v>
      </c>
      <c r="E3" s="8">
        <v>204</v>
      </c>
      <c r="H3" s="3">
        <v>475.61891271195037</v>
      </c>
      <c r="I3" s="3">
        <v>426.94999999999993</v>
      </c>
      <c r="J3" s="3">
        <v>254.25130466255675</v>
      </c>
    </row>
    <row r="4" spans="1:10" x14ac:dyDescent="0.4">
      <c r="A4" s="3" t="s">
        <v>12</v>
      </c>
      <c r="C4" s="9" t="s">
        <v>25</v>
      </c>
      <c r="D4" s="9" t="s">
        <v>27</v>
      </c>
      <c r="E4" s="9" t="s">
        <v>29</v>
      </c>
      <c r="F4" s="9"/>
      <c r="H4" s="8" cm="1">
        <f t="array" ref="H4:J4">H3:J3-H2:J2</f>
        <v>-39.091087288049664</v>
      </c>
      <c r="I4" s="8">
        <v>0</v>
      </c>
      <c r="J4" s="8">
        <v>46.941304662556774</v>
      </c>
    </row>
    <row r="5" spans="1:10" x14ac:dyDescent="0.4">
      <c r="A5" s="8">
        <v>0</v>
      </c>
      <c r="C5" s="8">
        <f>249-C2</f>
        <v>52</v>
      </c>
      <c r="D5" s="8">
        <f t="shared" ref="D5:E5" si="0">249-D2</f>
        <v>54</v>
      </c>
      <c r="E5" s="8">
        <f t="shared" si="0"/>
        <v>21</v>
      </c>
    </row>
    <row r="6" spans="1:10" x14ac:dyDescent="0.4">
      <c r="A6" s="8">
        <v>0.38</v>
      </c>
      <c r="C6" s="8">
        <f>247-C3</f>
        <v>50</v>
      </c>
      <c r="D6" s="8">
        <f t="shared" ref="D6:E6" si="1">247-D3</f>
        <v>59</v>
      </c>
      <c r="E6" s="8">
        <f t="shared" si="1"/>
        <v>43</v>
      </c>
      <c r="G6" s="8" t="s">
        <v>33</v>
      </c>
      <c r="H6" s="8">
        <v>0.25489000000000001</v>
      </c>
      <c r="I6" s="8">
        <v>0.61412999999999995</v>
      </c>
      <c r="J6" s="8">
        <v>0.69669999999999999</v>
      </c>
    </row>
    <row r="7" spans="1:10" x14ac:dyDescent="0.4">
      <c r="A7" s="8" t="s">
        <v>30</v>
      </c>
      <c r="C7" s="8" t="s">
        <v>24</v>
      </c>
      <c r="D7" s="8" t="s">
        <v>26</v>
      </c>
      <c r="E7" s="8" t="s">
        <v>28</v>
      </c>
      <c r="G7" s="8" t="s">
        <v>31</v>
      </c>
      <c r="H7" s="8" cm="1">
        <f t="array" ref="H7:J7">H6:J6*10+3</f>
        <v>5.5488999999999997</v>
      </c>
      <c r="I7" s="8">
        <v>9.1412999999999993</v>
      </c>
      <c r="J7" s="8">
        <v>9.9669999999999987</v>
      </c>
    </row>
    <row r="8" spans="1:10" x14ac:dyDescent="0.4">
      <c r="A8" s="8">
        <v>0</v>
      </c>
      <c r="C8" s="8" cm="1">
        <f t="array" ref="C8:E8">C5:E5/SUM(C5:E5)</f>
        <v>0.40944881889763779</v>
      </c>
      <c r="D8" s="8">
        <v>0.42519685039370081</v>
      </c>
      <c r="E8" s="8">
        <v>0.16535433070866143</v>
      </c>
      <c r="G8" s="8" t="s">
        <v>32</v>
      </c>
      <c r="H8" s="10" cm="1">
        <f t="array" ref="H8:J8">10+10*(EXP(-C10:E10*19)-1)</f>
        <v>46.159955217866298</v>
      </c>
      <c r="I8" s="8">
        <v>20.212985622690248</v>
      </c>
      <c r="J8" s="8">
        <v>1.0717763117454595</v>
      </c>
    </row>
    <row r="9" spans="1:10" x14ac:dyDescent="0.4">
      <c r="A9" s="8">
        <v>0.38</v>
      </c>
      <c r="C9" s="8" cm="1">
        <f t="array" ref="C9:E9">C6:E6/SUM(C6:E6)</f>
        <v>0.32894736842105265</v>
      </c>
      <c r="D9" s="8">
        <v>0.38815789473684209</v>
      </c>
      <c r="E9" s="8">
        <v>0.28289473684210525</v>
      </c>
      <c r="H9" s="8" cm="1">
        <f t="array" ref="H9:J9">H8:J8-_xlfn.ANCHORARRAY(H7)+_xlfn.ANCHORARRAY(H4)</f>
        <v>1.5199679298166302</v>
      </c>
      <c r="I9" s="8">
        <v>11.071685622690248</v>
      </c>
      <c r="J9" s="8">
        <v>38.046080974302235</v>
      </c>
    </row>
    <row r="10" spans="1:10" x14ac:dyDescent="0.4">
      <c r="C10" s="8">
        <f>C9-C8</f>
        <v>-8.0501450476585135E-2</v>
      </c>
      <c r="D10" s="8">
        <f t="shared" ref="D10:E10" si="2">D9-D8</f>
        <v>-3.7038955656858719E-2</v>
      </c>
      <c r="E10" s="8">
        <f t="shared" si="2"/>
        <v>0.11754040613344383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z</dc:creator>
  <cp:lastModifiedBy>z z</cp:lastModifiedBy>
  <cp:lastPrinted>2024-04-12T06:36:52Z</cp:lastPrinted>
  <dcterms:created xsi:type="dcterms:W3CDTF">2015-06-05T18:19:34Z</dcterms:created>
  <dcterms:modified xsi:type="dcterms:W3CDTF">2024-04-23T05:36:36Z</dcterms:modified>
</cp:coreProperties>
</file>