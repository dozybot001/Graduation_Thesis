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毕设\2-调节质量\"/>
    </mc:Choice>
  </mc:AlternateContent>
  <xr:revisionPtr revIDLastSave="0" documentId="13_ncr:1_{E6CA697C-9499-4ACA-BB9C-257BD6F23F97}" xr6:coauthVersionLast="47" xr6:coauthVersionMax="47" xr10:uidLastSave="{00000000-0000-0000-0000-000000000000}"/>
  <bookViews>
    <workbookView xWindow="-98" yWindow="-98" windowWidth="21795" windowHeight="13096" xr2:uid="{71C4C490-4DEC-4E89-8976-620388C73ADC}"/>
  </bookViews>
  <sheets>
    <sheet name="数据矩阵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W3" i="1" l="1" a="1"/>
  <c r="CW3" i="1" s="1"/>
  <c r="V7" i="1"/>
  <c r="BR3" i="1"/>
  <c r="BR4" i="1"/>
  <c r="BR5" i="1"/>
  <c r="BR6" i="1"/>
  <c r="BR7" i="1"/>
  <c r="BR8" i="1"/>
  <c r="BR9" i="1"/>
  <c r="BR10" i="1"/>
  <c r="BR11" i="1"/>
  <c r="BR12" i="1"/>
  <c r="BR13" i="1"/>
  <c r="BR14" i="1"/>
  <c r="BR15" i="1"/>
  <c r="BS2" i="1"/>
  <c r="BT2" i="1"/>
  <c r="BU2" i="1"/>
  <c r="BV2" i="1"/>
  <c r="BW2" i="1"/>
  <c r="BX2" i="1"/>
  <c r="BY2" i="1"/>
  <c r="BZ2" i="1"/>
  <c r="CA2" i="1"/>
  <c r="CB2" i="1"/>
  <c r="CC2" i="1"/>
  <c r="CD2" i="1"/>
  <c r="CE2" i="1"/>
  <c r="P7" i="1"/>
  <c r="Q3" i="1"/>
  <c r="R3" i="1"/>
  <c r="S3" i="1"/>
  <c r="T3" i="1"/>
  <c r="U3" i="1"/>
  <c r="V3" i="1"/>
  <c r="W3" i="1"/>
  <c r="Q4" i="1"/>
  <c r="R4" i="1"/>
  <c r="S4" i="1"/>
  <c r="T4" i="1"/>
  <c r="U4" i="1"/>
  <c r="V4" i="1"/>
  <c r="W4" i="1"/>
  <c r="Q5" i="1"/>
  <c r="R5" i="1"/>
  <c r="S5" i="1"/>
  <c r="T5" i="1"/>
  <c r="U5" i="1"/>
  <c r="V5" i="1"/>
  <c r="W5" i="1"/>
  <c r="Q6" i="1"/>
  <c r="R6" i="1"/>
  <c r="S6" i="1"/>
  <c r="T6" i="1"/>
  <c r="U6" i="1"/>
  <c r="V6" i="1"/>
  <c r="W6" i="1"/>
  <c r="Q7" i="1"/>
  <c r="R7" i="1"/>
  <c r="S7" i="1"/>
  <c r="T7" i="1"/>
  <c r="U7" i="1"/>
  <c r="W7" i="1"/>
  <c r="Q8" i="1"/>
  <c r="R8" i="1"/>
  <c r="S8" i="1"/>
  <c r="T8" i="1"/>
  <c r="U8" i="1"/>
  <c r="V8" i="1"/>
  <c r="W8" i="1"/>
  <c r="Q9" i="1"/>
  <c r="R9" i="1"/>
  <c r="S9" i="1"/>
  <c r="T9" i="1"/>
  <c r="U9" i="1"/>
  <c r="V9" i="1"/>
  <c r="W9" i="1"/>
  <c r="Q10" i="1"/>
  <c r="R10" i="1"/>
  <c r="S10" i="1"/>
  <c r="T10" i="1"/>
  <c r="U10" i="1"/>
  <c r="V10" i="1"/>
  <c r="W10" i="1"/>
  <c r="Q11" i="1"/>
  <c r="R11" i="1"/>
  <c r="S11" i="1"/>
  <c r="T11" i="1"/>
  <c r="U11" i="1"/>
  <c r="V11" i="1"/>
  <c r="W11" i="1"/>
  <c r="P4" i="1"/>
  <c r="P5" i="1"/>
  <c r="P6" i="1"/>
  <c r="P8" i="1"/>
  <c r="P9" i="1"/>
  <c r="P10" i="1"/>
  <c r="P11" i="1"/>
  <c r="P12" i="1"/>
  <c r="P13" i="1"/>
  <c r="P14" i="1"/>
  <c r="P15" i="1"/>
  <c r="Q12" i="1"/>
  <c r="R12" i="1"/>
  <c r="S12" i="1"/>
  <c r="T12" i="1"/>
  <c r="U12" i="1"/>
  <c r="V12" i="1"/>
  <c r="W12" i="1"/>
  <c r="Q13" i="1"/>
  <c r="R13" i="1"/>
  <c r="S13" i="1"/>
  <c r="T13" i="1"/>
  <c r="U13" i="1"/>
  <c r="V13" i="1"/>
  <c r="W13" i="1"/>
  <c r="Q14" i="1"/>
  <c r="R14" i="1"/>
  <c r="S14" i="1"/>
  <c r="T14" i="1"/>
  <c r="U14" i="1"/>
  <c r="V14" i="1"/>
  <c r="W14" i="1"/>
  <c r="Q15" i="1"/>
  <c r="R15" i="1"/>
  <c r="S15" i="1"/>
  <c r="T15" i="1"/>
  <c r="U15" i="1"/>
  <c r="V15" i="1"/>
  <c r="W15" i="1"/>
  <c r="P3" i="1"/>
  <c r="AB8" i="1" l="1" a="1"/>
  <c r="AQ8" i="1" s="1"/>
  <c r="BS3" i="1" a="1"/>
  <c r="BS3" i="1" s="1"/>
  <c r="AB15" i="1" a="1"/>
  <c r="AB15" i="1" s="1"/>
  <c r="AO15" i="1" s="1"/>
  <c r="AB10" i="1" a="1"/>
  <c r="AB10" i="1" s="1"/>
  <c r="AO10" i="1" s="1"/>
  <c r="AB5" i="1" a="1"/>
  <c r="AB5" i="1" s="1"/>
  <c r="AO5" i="1" s="1"/>
  <c r="AB9" i="1" a="1"/>
  <c r="AP9" i="1" s="1"/>
  <c r="AB14" i="1" a="1"/>
  <c r="AT14" i="1" s="1"/>
  <c r="AB12" i="1" a="1"/>
  <c r="AT12" i="1" s="1"/>
  <c r="AB11" i="1" a="1"/>
  <c r="AS11" i="1" s="1"/>
  <c r="AB6" i="1" a="1"/>
  <c r="AB6" i="1" s="1"/>
  <c r="AO6" i="1" s="1"/>
  <c r="AB4" i="1" a="1"/>
  <c r="AU4" i="1" s="1"/>
  <c r="AB13" i="1" a="1"/>
  <c r="AV13" i="1" s="1"/>
  <c r="AB7" i="1" a="1"/>
  <c r="AB7" i="1" s="1"/>
  <c r="AB14" i="1"/>
  <c r="AO14" i="1" s="1"/>
  <c r="AQ14" i="1"/>
  <c r="BS6" i="1" a="1"/>
  <c r="BS6" i="1" s="1"/>
  <c r="BS7" i="1" a="1"/>
  <c r="BS7" i="1" s="1"/>
  <c r="BS4" i="1" a="1"/>
  <c r="BS4" i="1" s="1"/>
  <c r="BS5" i="1" a="1"/>
  <c r="BS5" i="1" s="1"/>
  <c r="BS12" i="1" a="1"/>
  <c r="BS12" i="1" s="1"/>
  <c r="BS11" i="1" a="1"/>
  <c r="BS11" i="1" s="1"/>
  <c r="BS15" i="1" a="1"/>
  <c r="BS15" i="1" s="1"/>
  <c r="BS10" i="1" a="1"/>
  <c r="BS10" i="1" s="1"/>
  <c r="AB3" i="1" a="1"/>
  <c r="BS8" i="1" a="1"/>
  <c r="BS8" i="1" s="1"/>
  <c r="BS9" i="1" a="1"/>
  <c r="BS9" i="1" s="1"/>
  <c r="BS13" i="1" a="1"/>
  <c r="BS13" i="1" s="1"/>
  <c r="BS14" i="1" a="1"/>
  <c r="BS14" i="1" s="1"/>
  <c r="AP8" i="1" l="1"/>
  <c r="AP14" i="1"/>
  <c r="AT8" i="1"/>
  <c r="AB8" i="1"/>
  <c r="AO8" i="1" s="1"/>
  <c r="AV8" i="1"/>
  <c r="AU8" i="1"/>
  <c r="AT5" i="1"/>
  <c r="AS5" i="1"/>
  <c r="AQ5" i="1"/>
  <c r="AR5" i="1"/>
  <c r="AU5" i="1"/>
  <c r="AS9" i="1"/>
  <c r="AR9" i="1"/>
  <c r="AU11" i="1"/>
  <c r="AR11" i="1"/>
  <c r="AQ9" i="1"/>
  <c r="AV9" i="1"/>
  <c r="AS14" i="1"/>
  <c r="AR14" i="1"/>
  <c r="AS8" i="1"/>
  <c r="AR8" i="1"/>
  <c r="AP11" i="1"/>
  <c r="AU9" i="1"/>
  <c r="AB9" i="1"/>
  <c r="AO9" i="1" s="1"/>
  <c r="AP5" i="1"/>
  <c r="AT13" i="1"/>
  <c r="AQ11" i="1"/>
  <c r="AB11" i="1"/>
  <c r="AO11" i="1" s="1"/>
  <c r="AQ13" i="1"/>
  <c r="AS12" i="1"/>
  <c r="AR13" i="1"/>
  <c r="AU15" i="1"/>
  <c r="AS13" i="1"/>
  <c r="AR12" i="1"/>
  <c r="AQ12" i="1"/>
  <c r="AP12" i="1"/>
  <c r="AB12" i="1"/>
  <c r="AO12" i="1" s="1"/>
  <c r="AB13" i="1"/>
  <c r="AO13" i="1" s="1"/>
  <c r="AS4" i="1"/>
  <c r="AR4" i="1"/>
  <c r="AT4" i="1"/>
  <c r="AQ4" i="1"/>
  <c r="AP4" i="1"/>
  <c r="AB4" i="1"/>
  <c r="AO4" i="1" s="1"/>
  <c r="AT9" i="1"/>
  <c r="AV5" i="1"/>
  <c r="AV6" i="1"/>
  <c r="AU6" i="1"/>
  <c r="AV14" i="1"/>
  <c r="AP10" i="1"/>
  <c r="AT15" i="1"/>
  <c r="AT6" i="1"/>
  <c r="AR15" i="1"/>
  <c r="AR6" i="1"/>
  <c r="AQ6" i="1"/>
  <c r="AV15" i="1"/>
  <c r="AR10" i="1"/>
  <c r="AS10" i="1"/>
  <c r="AT10" i="1"/>
  <c r="AS15" i="1"/>
  <c r="AV11" i="1"/>
  <c r="AU13" i="1"/>
  <c r="AV4" i="1"/>
  <c r="AT11" i="1"/>
  <c r="AU12" i="1"/>
  <c r="AP13" i="1"/>
  <c r="AU14" i="1"/>
  <c r="AQ10" i="1"/>
  <c r="AU10" i="1"/>
  <c r="AS6" i="1"/>
  <c r="AP15" i="1"/>
  <c r="AV10" i="1"/>
  <c r="AQ15" i="1"/>
  <c r="AP6" i="1"/>
  <c r="AV7" i="1"/>
  <c r="AV12" i="1"/>
  <c r="AQ7" i="1"/>
  <c r="AS7" i="1"/>
  <c r="AT7" i="1"/>
  <c r="AR7" i="1"/>
  <c r="AP7" i="1"/>
  <c r="AU7" i="1"/>
  <c r="AO7" i="1"/>
  <c r="AJ7" i="1"/>
  <c r="AB3" i="1"/>
  <c r="AJ3" i="1" s="1"/>
  <c r="AP3" i="1"/>
  <c r="AQ3" i="1"/>
  <c r="AR3" i="1"/>
  <c r="AS3" i="1"/>
  <c r="AT3" i="1"/>
  <c r="AU3" i="1"/>
  <c r="AV3" i="1"/>
  <c r="AJ6" i="1"/>
  <c r="AJ15" i="1"/>
  <c r="CF3" i="1"/>
  <c r="CH3" i="1" s="1"/>
  <c r="AJ14" i="1"/>
  <c r="AJ5" i="1"/>
  <c r="CF4" i="1"/>
  <c r="CH4" i="1" s="1"/>
  <c r="AJ10" i="1"/>
  <c r="AJ8" i="1" l="1"/>
  <c r="AJ12" i="1"/>
  <c r="AJ9" i="1"/>
  <c r="AJ11" i="1"/>
  <c r="AJ13" i="1"/>
  <c r="AO3" i="1"/>
  <c r="AX3" i="1" s="1"/>
  <c r="AY3" i="1" s="1"/>
  <c r="AX11" i="1"/>
  <c r="AY11" i="1" s="1"/>
  <c r="AX8" i="1"/>
  <c r="AY8" i="1" s="1"/>
  <c r="AX15" i="1"/>
  <c r="AY15" i="1" s="1"/>
  <c r="AX13" i="1"/>
  <c r="AY13" i="1" s="1"/>
  <c r="AX6" i="1"/>
  <c r="AY6" i="1" s="1"/>
  <c r="AX9" i="1"/>
  <c r="AY9" i="1" s="1"/>
  <c r="AX14" i="1"/>
  <c r="AY14" i="1" s="1"/>
  <c r="AX5" i="1"/>
  <c r="AY5" i="1" s="1"/>
  <c r="AX10" i="1"/>
  <c r="AY10" i="1" s="1"/>
  <c r="AX7" i="1"/>
  <c r="AY7" i="1" s="1"/>
  <c r="AX12" i="1"/>
  <c r="AY12" i="1" s="1"/>
  <c r="CF5" i="1"/>
  <c r="CH5" i="1" s="1"/>
  <c r="AJ4" i="1"/>
  <c r="AX4" i="1"/>
  <c r="AY4" i="1" s="1"/>
  <c r="BA3" i="1" l="1" a="1"/>
  <c r="CF6" i="1"/>
  <c r="CH6" i="1" s="1"/>
  <c r="CJ4" i="1" l="1"/>
  <c r="CJ5" i="1"/>
  <c r="CJ6" i="1"/>
  <c r="BA3" i="1"/>
  <c r="CF7" i="1"/>
  <c r="CH7" i="1" s="1"/>
  <c r="CJ7" i="1" s="1"/>
  <c r="BA16" i="1" l="1"/>
  <c r="CJ3" i="1"/>
  <c r="CF8" i="1"/>
  <c r="CH8" i="1" s="1"/>
  <c r="CJ8" i="1" s="1"/>
  <c r="CF9" i="1" l="1"/>
  <c r="CH9" i="1" s="1"/>
  <c r="CJ9" i="1" s="1"/>
  <c r="CF10" i="1" l="1"/>
  <c r="CH10" i="1" s="1"/>
  <c r="CJ10" i="1" s="1"/>
  <c r="CF11" i="1" l="1"/>
  <c r="CH11" i="1" s="1"/>
  <c r="CJ11" i="1" s="1"/>
  <c r="CF12" i="1" l="1"/>
  <c r="CH12" i="1" s="1"/>
  <c r="CJ12" i="1" s="1"/>
  <c r="CF13" i="1" l="1"/>
  <c r="CH13" i="1" s="1"/>
  <c r="CJ13" i="1" s="1"/>
  <c r="CF15" i="1" l="1"/>
  <c r="CH15" i="1" s="1"/>
  <c r="CJ15" i="1" s="1"/>
  <c r="CF14" i="1"/>
  <c r="CH14" i="1" s="1"/>
  <c r="CJ14" i="1" s="1"/>
  <c r="CH16" i="1" l="1"/>
  <c r="CN3" i="1" a="1"/>
  <c r="CO7" i="1" s="1" a="1"/>
  <c r="CO7" i="1" s="1"/>
  <c r="CX3" i="1" s="1" a="1"/>
  <c r="CX3" i="1" s="1"/>
  <c r="CN3" i="1" l="1"/>
  <c r="CO14" i="1" a="1"/>
  <c r="CO14" i="1" s="1"/>
  <c r="DA3" i="1" s="1" a="1"/>
  <c r="DA3" i="1" s="1"/>
  <c r="DI3" i="1" s="1" a="1"/>
  <c r="DI3" i="1" s="1"/>
  <c r="CO10" i="1" a="1"/>
  <c r="CO10" i="1" s="1"/>
  <c r="CY3" i="1" s="1" a="1"/>
  <c r="CY3" i="1" s="1"/>
  <c r="DG3" i="1" s="1" a="1"/>
  <c r="DG3" i="1" s="1"/>
  <c r="CO12" i="1" a="1"/>
  <c r="CO12" i="1" s="1"/>
  <c r="CZ3" i="1" s="1" a="1"/>
  <c r="CZ3" i="1" s="1"/>
  <c r="DH3" i="1" s="1" a="1"/>
  <c r="DH3" i="1" s="1"/>
  <c r="DF3" i="1" a="1"/>
  <c r="DF3" i="1" s="1"/>
  <c r="CS3" i="1" l="1" a="1"/>
  <c r="CS3" i="1" s="1"/>
  <c r="DP19" i="1" s="1"/>
  <c r="CO3" i="1" a="1"/>
  <c r="CO3" i="1" s="1"/>
  <c r="DE3" i="1" s="1" a="1"/>
  <c r="DL16" i="1" s="1" a="1"/>
  <c r="DL16" i="1" s="1"/>
  <c r="CN16" i="1"/>
  <c r="DL6" i="1" l="1" a="1"/>
  <c r="DL6" i="1" s="1"/>
  <c r="DL12" i="1" a="1"/>
  <c r="DL12" i="1" s="1"/>
  <c r="DL10" i="1" a="1"/>
  <c r="DL10" i="1" s="1"/>
  <c r="DL14" i="1" a="1"/>
  <c r="DL14" i="1" s="1"/>
  <c r="DE3" i="1"/>
  <c r="DL2" i="1" s="1" a="1"/>
  <c r="DL2" i="1" s="1"/>
  <c r="DL18" i="1" s="1" a="1"/>
  <c r="DL18" i="1" s="1"/>
  <c r="DL4" i="1" a="1"/>
  <c r="DL4" i="1" s="1"/>
  <c r="DL8" i="1" a="1"/>
  <c r="DL8" i="1" s="1"/>
  <c r="DP18" i="1"/>
  <c r="DO18" i="1"/>
  <c r="DN18" i="1"/>
  <c r="DM18" i="1"/>
  <c r="DP16" i="1"/>
  <c r="DO16" i="1"/>
  <c r="DN16" i="1"/>
  <c r="DM16" i="1"/>
  <c r="CE15" i="1"/>
  <c r="CD15" i="1"/>
  <c r="CC15" i="1"/>
  <c r="CB15" i="1"/>
  <c r="CA15" i="1"/>
  <c r="BZ15" i="1"/>
  <c r="BY15" i="1"/>
  <c r="BX15" i="1"/>
  <c r="BW15" i="1"/>
  <c r="BV15" i="1"/>
  <c r="BU15" i="1"/>
  <c r="BT15" i="1"/>
  <c r="AI15" i="1"/>
  <c r="AH15" i="1"/>
  <c r="AG15" i="1"/>
  <c r="AF15" i="1"/>
  <c r="AE15" i="1"/>
  <c r="AD15" i="1"/>
  <c r="AC15" i="1"/>
  <c r="DP14" i="1"/>
  <c r="DO14" i="1"/>
  <c r="DN14" i="1"/>
  <c r="DM14" i="1"/>
  <c r="CO15" i="1"/>
  <c r="CE14" i="1"/>
  <c r="CD14" i="1"/>
  <c r="CC14" i="1"/>
  <c r="CB14" i="1"/>
  <c r="CA14" i="1"/>
  <c r="BZ14" i="1"/>
  <c r="BY14" i="1"/>
  <c r="BX14" i="1"/>
  <c r="BW14" i="1"/>
  <c r="BV14" i="1"/>
  <c r="BU14" i="1"/>
  <c r="BT14" i="1"/>
  <c r="AI14" i="1"/>
  <c r="AH14" i="1"/>
  <c r="AG14" i="1"/>
  <c r="AF14" i="1"/>
  <c r="AE14" i="1"/>
  <c r="AD14" i="1"/>
  <c r="AC14" i="1"/>
  <c r="CE13" i="1"/>
  <c r="CD13" i="1"/>
  <c r="CC13" i="1"/>
  <c r="CB13" i="1"/>
  <c r="CA13" i="1"/>
  <c r="BZ13" i="1"/>
  <c r="BY13" i="1"/>
  <c r="BX13" i="1"/>
  <c r="BW13" i="1"/>
  <c r="BV13" i="1"/>
  <c r="BU13" i="1"/>
  <c r="BT13" i="1"/>
  <c r="AI13" i="1"/>
  <c r="AH13" i="1"/>
  <c r="AG13" i="1"/>
  <c r="AF13" i="1"/>
  <c r="AE13" i="1"/>
  <c r="AD13" i="1"/>
  <c r="AC13" i="1"/>
  <c r="DP12" i="1"/>
  <c r="DO12" i="1"/>
  <c r="DN12" i="1"/>
  <c r="DM12" i="1"/>
  <c r="CO13" i="1"/>
  <c r="CE12" i="1"/>
  <c r="CD12" i="1"/>
  <c r="CC12" i="1"/>
  <c r="CB12" i="1"/>
  <c r="CA12" i="1"/>
  <c r="BZ12" i="1"/>
  <c r="BY12" i="1"/>
  <c r="BX12" i="1"/>
  <c r="BW12" i="1"/>
  <c r="BV12" i="1"/>
  <c r="BU12" i="1"/>
  <c r="BT12" i="1"/>
  <c r="AI12" i="1"/>
  <c r="AH12" i="1"/>
  <c r="AG12" i="1"/>
  <c r="AF12" i="1"/>
  <c r="AE12" i="1"/>
  <c r="AD12" i="1"/>
  <c r="AC12" i="1"/>
  <c r="CE11" i="1"/>
  <c r="CD11" i="1"/>
  <c r="CC11" i="1"/>
  <c r="CB11" i="1"/>
  <c r="CA11" i="1"/>
  <c r="BZ11" i="1"/>
  <c r="BY11" i="1"/>
  <c r="BX11" i="1"/>
  <c r="BW11" i="1"/>
  <c r="BV11" i="1"/>
  <c r="BU11" i="1"/>
  <c r="BT11" i="1"/>
  <c r="AI11" i="1"/>
  <c r="AH11" i="1"/>
  <c r="AG11" i="1"/>
  <c r="AF11" i="1"/>
  <c r="AE11" i="1"/>
  <c r="AD11" i="1"/>
  <c r="AC11" i="1"/>
  <c r="DP10" i="1"/>
  <c r="DO10" i="1"/>
  <c r="DN10" i="1"/>
  <c r="DM10" i="1"/>
  <c r="CO11" i="1"/>
  <c r="CE10" i="1"/>
  <c r="CD10" i="1"/>
  <c r="CC10" i="1"/>
  <c r="CB10" i="1"/>
  <c r="CA10" i="1"/>
  <c r="BZ10" i="1"/>
  <c r="BY10" i="1"/>
  <c r="BX10" i="1"/>
  <c r="BW10" i="1"/>
  <c r="BV10" i="1"/>
  <c r="BU10" i="1"/>
  <c r="BT10" i="1"/>
  <c r="AI10" i="1"/>
  <c r="AH10" i="1"/>
  <c r="AG10" i="1"/>
  <c r="AF10" i="1"/>
  <c r="AE10" i="1"/>
  <c r="AD10" i="1"/>
  <c r="AC10" i="1"/>
  <c r="CE9" i="1"/>
  <c r="CD9" i="1"/>
  <c r="CC9" i="1"/>
  <c r="CB9" i="1"/>
  <c r="CA9" i="1"/>
  <c r="BZ9" i="1"/>
  <c r="BY9" i="1"/>
  <c r="BX9" i="1"/>
  <c r="BW9" i="1"/>
  <c r="BV9" i="1"/>
  <c r="BU9" i="1"/>
  <c r="BT9" i="1"/>
  <c r="AI9" i="1"/>
  <c r="AH9" i="1"/>
  <c r="AG9" i="1"/>
  <c r="AF9" i="1"/>
  <c r="AE9" i="1"/>
  <c r="AD9" i="1"/>
  <c r="AC9" i="1"/>
  <c r="DP8" i="1"/>
  <c r="DO8" i="1"/>
  <c r="DN8" i="1"/>
  <c r="DM8" i="1"/>
  <c r="CE8" i="1"/>
  <c r="CD8" i="1"/>
  <c r="CC8" i="1"/>
  <c r="CB8" i="1"/>
  <c r="CA8" i="1"/>
  <c r="BZ8" i="1"/>
  <c r="BY8" i="1"/>
  <c r="BX8" i="1"/>
  <c r="BW8" i="1"/>
  <c r="BV8" i="1"/>
  <c r="BU8" i="1"/>
  <c r="BT8" i="1"/>
  <c r="AI8" i="1"/>
  <c r="AH8" i="1"/>
  <c r="AG8" i="1"/>
  <c r="AF8" i="1"/>
  <c r="AE8" i="1"/>
  <c r="AD8" i="1"/>
  <c r="AC8" i="1"/>
  <c r="CO9" i="1"/>
  <c r="CO8" i="1"/>
  <c r="CE7" i="1"/>
  <c r="CD7" i="1"/>
  <c r="CC7" i="1"/>
  <c r="CB7" i="1"/>
  <c r="CA7" i="1"/>
  <c r="BZ7" i="1"/>
  <c r="BY7" i="1"/>
  <c r="BX7" i="1"/>
  <c r="BW7" i="1"/>
  <c r="BV7" i="1"/>
  <c r="BU7" i="1"/>
  <c r="BT7" i="1"/>
  <c r="AI7" i="1"/>
  <c r="AH7" i="1"/>
  <c r="AG7" i="1"/>
  <c r="AF7" i="1"/>
  <c r="AE7" i="1"/>
  <c r="AD7" i="1"/>
  <c r="AC7" i="1"/>
  <c r="DP6" i="1"/>
  <c r="DO6" i="1"/>
  <c r="DN6" i="1"/>
  <c r="DM6" i="1"/>
  <c r="CE6" i="1"/>
  <c r="CD6" i="1"/>
  <c r="CC6" i="1"/>
  <c r="CB6" i="1"/>
  <c r="CA6" i="1"/>
  <c r="BZ6" i="1"/>
  <c r="BY6" i="1"/>
  <c r="BX6" i="1"/>
  <c r="BW6" i="1"/>
  <c r="BV6" i="1"/>
  <c r="BU6" i="1"/>
  <c r="BT6" i="1"/>
  <c r="AI6" i="1"/>
  <c r="AH6" i="1"/>
  <c r="AG6" i="1"/>
  <c r="AF6" i="1"/>
  <c r="AE6" i="1"/>
  <c r="AD6" i="1"/>
  <c r="AC6" i="1"/>
  <c r="CE5" i="1"/>
  <c r="CD5" i="1"/>
  <c r="CC5" i="1"/>
  <c r="CB5" i="1"/>
  <c r="CA5" i="1"/>
  <c r="BZ5" i="1"/>
  <c r="BY5" i="1"/>
  <c r="BX5" i="1"/>
  <c r="BW5" i="1"/>
  <c r="BV5" i="1"/>
  <c r="BU5" i="1"/>
  <c r="BT5" i="1"/>
  <c r="AI5" i="1"/>
  <c r="AH5" i="1"/>
  <c r="AG5" i="1"/>
  <c r="AF5" i="1"/>
  <c r="AE5" i="1"/>
  <c r="AD5" i="1"/>
  <c r="AC5" i="1"/>
  <c r="DP4" i="1"/>
  <c r="DO4" i="1"/>
  <c r="DN4" i="1"/>
  <c r="DM4" i="1"/>
  <c r="CE4" i="1"/>
  <c r="CD4" i="1"/>
  <c r="CC4" i="1"/>
  <c r="CB4" i="1"/>
  <c r="CA4" i="1"/>
  <c r="BZ4" i="1"/>
  <c r="BY4" i="1"/>
  <c r="BX4" i="1"/>
  <c r="BW4" i="1"/>
  <c r="BV4" i="1"/>
  <c r="BU4" i="1"/>
  <c r="BT4" i="1"/>
  <c r="AI4" i="1"/>
  <c r="AH4" i="1"/>
  <c r="AG4" i="1"/>
  <c r="AF4" i="1"/>
  <c r="AE4" i="1"/>
  <c r="AD4" i="1"/>
  <c r="AC4" i="1"/>
  <c r="DI10" i="1"/>
  <c r="DI9" i="1"/>
  <c r="DI8" i="1"/>
  <c r="DI7" i="1"/>
  <c r="DI6" i="1"/>
  <c r="DI5" i="1"/>
  <c r="DI4" i="1"/>
  <c r="DH10" i="1"/>
  <c r="DH9" i="1"/>
  <c r="DH8" i="1"/>
  <c r="DH7" i="1"/>
  <c r="DH6" i="1"/>
  <c r="DH5" i="1"/>
  <c r="DH4" i="1"/>
  <c r="DG10" i="1"/>
  <c r="DG9" i="1"/>
  <c r="DG8" i="1"/>
  <c r="DG7" i="1"/>
  <c r="DG6" i="1"/>
  <c r="DG5" i="1"/>
  <c r="DG4" i="1"/>
  <c r="DF10" i="1"/>
  <c r="DF9" i="1"/>
  <c r="DF8" i="1"/>
  <c r="DF7" i="1"/>
  <c r="DF6" i="1"/>
  <c r="DF5" i="1"/>
  <c r="DF4" i="1"/>
  <c r="DE10" i="1"/>
  <c r="DE9" i="1"/>
  <c r="DE8" i="1"/>
  <c r="DE7" i="1"/>
  <c r="DE6" i="1"/>
  <c r="DE5" i="1"/>
  <c r="DE4" i="1"/>
  <c r="DA10" i="1"/>
  <c r="DA9" i="1"/>
  <c r="DA8" i="1"/>
  <c r="DA7" i="1"/>
  <c r="DA6" i="1"/>
  <c r="DA5" i="1"/>
  <c r="DA4" i="1"/>
  <c r="CZ10" i="1"/>
  <c r="CZ9" i="1"/>
  <c r="CZ8" i="1"/>
  <c r="CZ7" i="1"/>
  <c r="CZ6" i="1"/>
  <c r="CZ5" i="1"/>
  <c r="CZ4" i="1"/>
  <c r="CY10" i="1"/>
  <c r="CY9" i="1"/>
  <c r="CY8" i="1"/>
  <c r="CY7" i="1"/>
  <c r="CY6" i="1"/>
  <c r="CY5" i="1"/>
  <c r="CY4" i="1"/>
  <c r="CX10" i="1"/>
  <c r="CX9" i="1"/>
  <c r="CX8" i="1"/>
  <c r="CX7" i="1"/>
  <c r="CX6" i="1"/>
  <c r="CX5" i="1"/>
  <c r="CX4" i="1"/>
  <c r="CW10" i="1"/>
  <c r="CW9" i="1"/>
  <c r="CW8" i="1"/>
  <c r="CW7" i="1"/>
  <c r="CW6" i="1"/>
  <c r="CW5" i="1"/>
  <c r="CW4" i="1"/>
  <c r="CS10" i="1"/>
  <c r="CS9" i="1"/>
  <c r="CS8" i="1"/>
  <c r="CS7" i="1"/>
  <c r="CS6" i="1"/>
  <c r="CS5" i="1"/>
  <c r="CS4" i="1"/>
  <c r="CO6" i="1"/>
  <c r="CO5" i="1"/>
  <c r="CO4" i="1"/>
  <c r="CN15" i="1"/>
  <c r="CN14" i="1"/>
  <c r="CN13" i="1"/>
  <c r="CN12" i="1"/>
  <c r="CN11" i="1"/>
  <c r="CN10" i="1"/>
  <c r="CN9" i="1"/>
  <c r="CN8" i="1"/>
  <c r="CN7" i="1"/>
  <c r="CN6" i="1"/>
  <c r="CN5" i="1"/>
  <c r="CN4" i="1"/>
  <c r="CE3" i="1"/>
  <c r="CD3" i="1"/>
  <c r="CC3" i="1"/>
  <c r="CB3" i="1"/>
  <c r="CA3" i="1"/>
  <c r="BZ3" i="1"/>
  <c r="BY3" i="1"/>
  <c r="BX3" i="1"/>
  <c r="BW3" i="1"/>
  <c r="BV3" i="1"/>
  <c r="BU3" i="1"/>
  <c r="BT3" i="1"/>
  <c r="BA15" i="1"/>
  <c r="BA14" i="1"/>
  <c r="BA13" i="1"/>
  <c r="BA12" i="1"/>
  <c r="BA11" i="1"/>
  <c r="BA10" i="1"/>
  <c r="BA9" i="1"/>
  <c r="BA8" i="1"/>
  <c r="BA7" i="1"/>
  <c r="BA6" i="1"/>
  <c r="BA5" i="1"/>
  <c r="BA4" i="1"/>
  <c r="AI3" i="1"/>
  <c r="AH3" i="1"/>
  <c r="AG3" i="1"/>
  <c r="AF3" i="1"/>
  <c r="AE3" i="1"/>
  <c r="AD3" i="1"/>
  <c r="AC3" i="1"/>
  <c r="DP2" i="1"/>
  <c r="DO2" i="1"/>
  <c r="DN2" i="1"/>
  <c r="DM2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<sst xmlns="http://schemas.openxmlformats.org/spreadsheetml/2006/main" count="507" uniqueCount="142">
  <si>
    <t>F1</t>
    <phoneticPr fontId="1" type="noConversion"/>
  </si>
  <si>
    <t>F2</t>
    <phoneticPr fontId="1" type="noConversion"/>
  </si>
  <si>
    <t>F3</t>
  </si>
  <si>
    <t>F3</t>
    <phoneticPr fontId="1" type="noConversion"/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</si>
  <si>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</si>
  <si>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</si>
  <si>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</si>
  <si>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</si>
  <si>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</si>
  <si>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</si>
  <si>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</si>
  <si>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</si>
  <si>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</si>
  <si>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</si>
  <si>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f_k</t>
    <phoneticPr fontId="1" type="noConversion"/>
  </si>
  <si>
    <t>F1</t>
  </si>
  <si>
    <t>F2</t>
  </si>
  <si>
    <t>e_k</t>
    <phoneticPr fontId="1" type="noConversion"/>
  </si>
  <si>
    <t>VPP</t>
    <phoneticPr fontId="1" type="noConversion"/>
  </si>
  <si>
    <t>T1</t>
    <phoneticPr fontId="1" type="noConversion"/>
  </si>
  <si>
    <t>T3</t>
  </si>
  <si>
    <t>T3</t>
    <phoneticPr fontId="1" type="noConversion"/>
  </si>
  <si>
    <t>T4</t>
  </si>
  <si>
    <t>T4</t>
    <phoneticPr fontId="1" type="noConversion"/>
  </si>
  <si>
    <t>T5</t>
  </si>
  <si>
    <t>T5</t>
    <phoneticPr fontId="1" type="noConversion"/>
  </si>
  <si>
    <t>T6</t>
  </si>
  <si>
    <t>T6</t>
    <phoneticPr fontId="1" type="noConversion"/>
  </si>
  <si>
    <t>T7</t>
  </si>
  <si>
    <t>T7</t>
    <phoneticPr fontId="1" type="noConversion"/>
  </si>
  <si>
    <t>T8</t>
  </si>
  <si>
    <t>T8</t>
    <phoneticPr fontId="1" type="noConversion"/>
  </si>
  <si>
    <t>T2</t>
  </si>
  <si>
    <t>D1</t>
    <phoneticPr fontId="1" type="noConversion"/>
  </si>
  <si>
    <t>D2</t>
  </si>
  <si>
    <t>D3</t>
  </si>
  <si>
    <t>D4</t>
  </si>
  <si>
    <t>D5</t>
  </si>
  <si>
    <t>-1/lnm*p*lnp</t>
    <phoneticPr fontId="1" type="noConversion"/>
  </si>
  <si>
    <t>1-e_k</t>
    <phoneticPr fontId="1" type="noConversion"/>
  </si>
  <si>
    <t>T1</t>
  </si>
  <si>
    <r>
      <rPr>
        <sz val="11"/>
        <rFont val="华文中宋"/>
        <family val="3"/>
        <charset val="134"/>
      </rPr>
      <t>数据矩阵</t>
    </r>
    <phoneticPr fontId="1" type="noConversion"/>
  </si>
  <si>
    <r>
      <rPr>
        <sz val="11"/>
        <rFont val="华文中宋"/>
        <family val="3"/>
        <charset val="134"/>
      </rPr>
      <t>对象</t>
    </r>
    <phoneticPr fontId="1" type="noConversion"/>
  </si>
  <si>
    <r>
      <rPr>
        <sz val="11"/>
        <rFont val="华文中宋"/>
        <family val="3"/>
        <charset val="134"/>
      </rPr>
      <t>光伏</t>
    </r>
    <phoneticPr fontId="1" type="noConversion"/>
  </si>
  <si>
    <r>
      <rPr>
        <sz val="11"/>
        <rFont val="华文中宋"/>
        <family val="3"/>
        <charset val="134"/>
      </rPr>
      <t>风电</t>
    </r>
    <phoneticPr fontId="1" type="noConversion"/>
  </si>
  <si>
    <r>
      <rPr>
        <sz val="11"/>
        <rFont val="华文中宋"/>
        <family val="3"/>
        <charset val="134"/>
      </rPr>
      <t>抽水蓄能</t>
    </r>
    <phoneticPr fontId="1" type="noConversion"/>
  </si>
  <si>
    <r>
      <rPr>
        <sz val="11"/>
        <rFont val="华文中宋"/>
        <family val="3"/>
        <charset val="134"/>
      </rPr>
      <t>蓄电池</t>
    </r>
    <phoneticPr fontId="1" type="noConversion"/>
  </si>
  <si>
    <r>
      <rPr>
        <sz val="11"/>
        <rFont val="华文中宋"/>
        <family val="3"/>
        <charset val="134"/>
      </rPr>
      <t>燃气轮机</t>
    </r>
    <phoneticPr fontId="1" type="noConversion"/>
  </si>
  <si>
    <r>
      <rPr>
        <sz val="11"/>
        <rFont val="华文中宋"/>
        <family val="3"/>
        <charset val="134"/>
      </rPr>
      <t>火电</t>
    </r>
    <phoneticPr fontId="1" type="noConversion"/>
  </si>
  <si>
    <r>
      <rPr>
        <sz val="11"/>
        <rFont val="华文中宋"/>
        <family val="3"/>
        <charset val="134"/>
      </rPr>
      <t>水电</t>
    </r>
    <phoneticPr fontId="1" type="noConversion"/>
  </si>
  <si>
    <r>
      <rPr>
        <sz val="11"/>
        <rFont val="华文中宋"/>
        <family val="3"/>
        <charset val="134"/>
      </rPr>
      <t>核电</t>
    </r>
    <phoneticPr fontId="1" type="noConversion"/>
  </si>
  <si>
    <r>
      <rPr>
        <sz val="11"/>
        <rFont val="华文中宋"/>
        <family val="3"/>
        <charset val="134"/>
      </rPr>
      <t>标准化数据评分</t>
    </r>
    <phoneticPr fontId="1" type="noConversion"/>
  </si>
  <si>
    <r>
      <rPr>
        <sz val="11"/>
        <rFont val="华文中宋"/>
        <family val="3"/>
        <charset val="134"/>
      </rPr>
      <t>数据评分比重</t>
    </r>
    <phoneticPr fontId="1" type="noConversion"/>
  </si>
  <si>
    <r>
      <rPr>
        <sz val="11"/>
        <rFont val="华文中宋"/>
        <family val="3"/>
        <charset val="134"/>
      </rPr>
      <t>中间值</t>
    </r>
    <phoneticPr fontId="1" type="noConversion"/>
  </si>
  <si>
    <r>
      <t>EWM</t>
    </r>
    <r>
      <rPr>
        <sz val="11"/>
        <rFont val="华文中宋"/>
        <family val="3"/>
        <charset val="134"/>
      </rPr>
      <t>权重</t>
    </r>
    <phoneticPr fontId="1" type="noConversion"/>
  </si>
  <si>
    <r>
      <rPr>
        <sz val="11"/>
        <rFont val="华文中宋"/>
        <family val="3"/>
        <charset val="134"/>
      </rPr>
      <t>模糊判断矩阵</t>
    </r>
  </si>
  <si>
    <r>
      <rPr>
        <sz val="11"/>
        <rFont val="华文中宋"/>
        <family val="3"/>
        <charset val="134"/>
      </rPr>
      <t>模糊一致性矩阵</t>
    </r>
    <phoneticPr fontId="1" type="noConversion"/>
  </si>
  <si>
    <r>
      <t>FAHP</t>
    </r>
    <r>
      <rPr>
        <sz val="11"/>
        <rFont val="华文中宋"/>
        <family val="3"/>
        <charset val="134"/>
      </rPr>
      <t>权重</t>
    </r>
    <phoneticPr fontId="1" type="noConversion"/>
  </si>
  <si>
    <r>
      <rPr>
        <sz val="11"/>
        <rFont val="华文中宋"/>
        <family val="3"/>
        <charset val="134"/>
      </rPr>
      <t>组合权重</t>
    </r>
    <phoneticPr fontId="1" type="noConversion"/>
  </si>
  <si>
    <r>
      <rPr>
        <sz val="11"/>
        <rFont val="华文中宋"/>
        <family val="3"/>
        <charset val="134"/>
      </rPr>
      <t>分维权重</t>
    </r>
    <phoneticPr fontId="1" type="noConversion"/>
  </si>
  <si>
    <r>
      <rPr>
        <sz val="11"/>
        <rFont val="华文中宋"/>
        <family val="3"/>
        <charset val="134"/>
      </rPr>
      <t>调节质量总评</t>
    </r>
    <phoneticPr fontId="1" type="noConversion"/>
  </si>
  <si>
    <r>
      <rPr>
        <sz val="11"/>
        <rFont val="华文中宋"/>
        <family val="3"/>
        <charset val="134"/>
      </rPr>
      <t>维度评分</t>
    </r>
    <phoneticPr fontId="1" type="noConversion"/>
  </si>
  <si>
    <r>
      <rPr>
        <sz val="11"/>
        <rFont val="华文中宋"/>
        <family val="3"/>
        <charset val="134"/>
      </rPr>
      <t>灵活性</t>
    </r>
    <phoneticPr fontId="1" type="noConversion"/>
  </si>
  <si>
    <r>
      <rPr>
        <sz val="11"/>
        <rFont val="华文中宋"/>
        <family val="3"/>
        <charset val="134"/>
      </rPr>
      <t>可靠性</t>
    </r>
    <phoneticPr fontId="1" type="noConversion"/>
  </si>
  <si>
    <r>
      <rPr>
        <sz val="11"/>
        <rFont val="华文中宋"/>
        <family val="3"/>
        <charset val="134"/>
      </rPr>
      <t>稳定性</t>
    </r>
    <phoneticPr fontId="1" type="noConversion"/>
  </si>
  <si>
    <r>
      <rPr>
        <sz val="11"/>
        <rFont val="华文中宋"/>
        <family val="3"/>
        <charset val="134"/>
      </rPr>
      <t>经济性</t>
    </r>
    <phoneticPr fontId="1" type="noConversion"/>
  </si>
  <si>
    <r>
      <rPr>
        <sz val="11"/>
        <rFont val="华文中宋"/>
        <family val="3"/>
        <charset val="134"/>
      </rPr>
      <t>环保性</t>
    </r>
    <phoneticPr fontId="1" type="noConversion"/>
  </si>
  <si>
    <r>
      <rPr>
        <sz val="11"/>
        <rFont val="华文中宋"/>
        <family val="3"/>
        <charset val="134"/>
      </rPr>
      <t>绘图数据</t>
    </r>
    <phoneticPr fontId="1" type="noConversion"/>
  </si>
  <si>
    <r>
      <rPr>
        <sz val="11"/>
        <rFont val="华文中宋"/>
        <family val="3"/>
        <charset val="134"/>
      </rPr>
      <t>维度</t>
    </r>
    <phoneticPr fontId="1" type="noConversion"/>
  </si>
  <si>
    <r>
      <rPr>
        <sz val="11"/>
        <rFont val="华文中宋"/>
        <family val="3"/>
        <charset val="134"/>
      </rPr>
      <t>指标</t>
    </r>
    <phoneticPr fontId="1" type="noConversion"/>
  </si>
  <si>
    <r>
      <rPr>
        <sz val="11"/>
        <rFont val="华文中宋"/>
        <family val="3"/>
        <charset val="134"/>
      </rPr>
      <t>代号</t>
    </r>
    <phoneticPr fontId="1" type="noConversion"/>
  </si>
  <si>
    <r>
      <rPr>
        <sz val="11"/>
        <rFont val="华文中宋"/>
        <family val="3"/>
        <charset val="134"/>
      </rPr>
      <t>和</t>
    </r>
    <phoneticPr fontId="1" type="noConversion"/>
  </si>
  <si>
    <r>
      <rPr>
        <sz val="11"/>
        <rFont val="华文中宋"/>
        <family val="3"/>
        <charset val="134"/>
      </rPr>
      <t>几何平均</t>
    </r>
    <phoneticPr fontId="1" type="noConversion"/>
  </si>
  <si>
    <r>
      <rPr>
        <sz val="11"/>
        <rFont val="华文中宋"/>
        <family val="3"/>
        <charset val="134"/>
      </rPr>
      <t>爬坡率</t>
    </r>
    <phoneticPr fontId="1" type="noConversion"/>
  </si>
  <si>
    <r>
      <rPr>
        <sz val="11"/>
        <rFont val="华文中宋"/>
        <family val="3"/>
        <charset val="134"/>
      </rPr>
      <t>功率步长</t>
    </r>
    <phoneticPr fontId="1" type="noConversion"/>
  </si>
  <si>
    <r>
      <rPr>
        <sz val="11"/>
        <rFont val="华文中宋"/>
        <family val="3"/>
        <charset val="134"/>
      </rPr>
      <t>可调率</t>
    </r>
    <phoneticPr fontId="1" type="noConversion"/>
  </si>
  <si>
    <r>
      <rPr>
        <sz val="11"/>
        <rFont val="华文中宋"/>
        <family val="3"/>
        <charset val="134"/>
      </rPr>
      <t>响应及时率</t>
    </r>
    <phoneticPr fontId="1" type="noConversion"/>
  </si>
  <si>
    <r>
      <rPr>
        <sz val="11"/>
        <rFont val="华文中宋"/>
        <family val="3"/>
        <charset val="134"/>
      </rPr>
      <t>电压合格率</t>
    </r>
    <phoneticPr fontId="1" type="noConversion"/>
  </si>
  <si>
    <r>
      <rPr>
        <sz val="11"/>
        <rFont val="华文中宋"/>
        <family val="3"/>
        <charset val="134"/>
      </rPr>
      <t>有功曲线合格率</t>
    </r>
    <phoneticPr fontId="1" type="noConversion"/>
  </si>
  <si>
    <r>
      <rPr>
        <sz val="11"/>
        <rFont val="华文中宋"/>
        <family val="3"/>
        <charset val="134"/>
      </rPr>
      <t>计划完成率</t>
    </r>
    <phoneticPr fontId="1" type="noConversion"/>
  </si>
  <si>
    <r>
      <rPr>
        <sz val="11"/>
        <rFont val="华文中宋"/>
        <family val="3"/>
        <charset val="134"/>
      </rPr>
      <t>工作稳定性</t>
    </r>
    <phoneticPr fontId="1" type="noConversion"/>
  </si>
  <si>
    <r>
      <rPr>
        <sz val="11"/>
        <rFont val="华文中宋"/>
        <family val="3"/>
        <charset val="134"/>
      </rPr>
      <t>度电成本</t>
    </r>
    <phoneticPr fontId="1" type="noConversion"/>
  </si>
  <si>
    <r>
      <rPr>
        <sz val="11"/>
        <rFont val="华文中宋"/>
        <family val="3"/>
        <charset val="134"/>
      </rPr>
      <t>降序</t>
    </r>
    <phoneticPr fontId="1" type="noConversion"/>
  </si>
  <si>
    <r>
      <rPr>
        <sz val="11"/>
        <rFont val="华文中宋"/>
        <family val="3"/>
        <charset val="134"/>
      </rPr>
      <t>边际收益</t>
    </r>
    <phoneticPr fontId="1" type="noConversion"/>
  </si>
  <si>
    <r>
      <rPr>
        <sz val="11"/>
        <rFont val="华文中宋"/>
        <family val="3"/>
        <charset val="134"/>
      </rPr>
      <t>度电碳排</t>
    </r>
    <phoneticPr fontId="1" type="noConversion"/>
  </si>
  <si>
    <r>
      <rPr>
        <sz val="11"/>
        <rFont val="华文中宋"/>
        <family val="3"/>
        <charset val="134"/>
      </rPr>
      <t>抽水蓄能</t>
    </r>
  </si>
  <si>
    <r>
      <rPr>
        <sz val="11"/>
        <rFont val="华文中宋"/>
        <family val="3"/>
        <charset val="134"/>
      </rPr>
      <t>清洁能源利用率</t>
    </r>
    <phoneticPr fontId="1" type="noConversion"/>
  </si>
  <si>
    <r>
      <rPr>
        <sz val="11"/>
        <rFont val="华文中宋"/>
        <family val="3"/>
        <charset val="134"/>
      </rPr>
      <t>蓄电池</t>
    </r>
  </si>
  <si>
    <r>
      <rPr>
        <sz val="11"/>
        <rFont val="华文中宋"/>
        <family val="3"/>
        <charset val="134"/>
      </rPr>
      <t>水电</t>
    </r>
  </si>
  <si>
    <r>
      <rPr>
        <sz val="11"/>
        <rFont val="华文中宋"/>
        <family val="3"/>
        <charset val="134"/>
      </rPr>
      <t>风电</t>
    </r>
  </si>
  <si>
    <r>
      <rPr>
        <sz val="11"/>
        <rFont val="华文中宋"/>
        <family val="3"/>
        <charset val="134"/>
      </rPr>
      <t>光伏</t>
    </r>
  </si>
  <si>
    <r>
      <rPr>
        <sz val="11"/>
        <rFont val="华文中宋"/>
        <family val="3"/>
        <charset val="134"/>
      </rPr>
      <t>燃气轮机</t>
    </r>
  </si>
  <si>
    <r>
      <rPr>
        <sz val="11"/>
        <rFont val="华文中宋"/>
        <family val="3"/>
        <charset val="134"/>
      </rPr>
      <t>占比</t>
    </r>
    <phoneticPr fontId="1" type="noConversion"/>
  </si>
  <si>
    <r>
      <rPr>
        <sz val="11"/>
        <rFont val="华文中宋"/>
        <family val="3"/>
        <charset val="134"/>
      </rPr>
      <t>核电</t>
    </r>
  </si>
  <si>
    <r>
      <rPr>
        <sz val="11"/>
        <rFont val="华文中宋"/>
        <family val="3"/>
        <charset val="134"/>
      </rPr>
      <t>总评分</t>
    </r>
    <phoneticPr fontId="1" type="noConversion"/>
  </si>
  <si>
    <r>
      <rPr>
        <sz val="11"/>
        <rFont val="华文中宋"/>
        <family val="3"/>
        <charset val="134"/>
      </rPr>
      <t>火电</t>
    </r>
  </si>
  <si>
    <r>
      <rPr>
        <sz val="11"/>
        <rFont val="华文中宋"/>
        <family val="3"/>
        <charset val="134"/>
      </rPr>
      <t>工作持久性</t>
    </r>
    <phoneticPr fontId="1" type="noConversion"/>
  </si>
  <si>
    <t>Solar Power</t>
    <phoneticPr fontId="1" type="noConversion"/>
  </si>
  <si>
    <t>Wind Power</t>
    <phoneticPr fontId="1" type="noConversion"/>
  </si>
  <si>
    <t>Pumped Storage</t>
    <phoneticPr fontId="1" type="noConversion"/>
  </si>
  <si>
    <t>Battery Storage</t>
    <phoneticPr fontId="1" type="noConversion"/>
  </si>
  <si>
    <t>Gas Turbine</t>
    <phoneticPr fontId="1" type="noConversion"/>
  </si>
  <si>
    <t>Thermal Power</t>
    <phoneticPr fontId="1" type="noConversion"/>
  </si>
  <si>
    <t>Hydropower</t>
    <phoneticPr fontId="1" type="noConversion"/>
  </si>
  <si>
    <t>Nuclear Power</t>
    <phoneticPr fontId="1" type="noConversion"/>
  </si>
  <si>
    <t>Flexibility</t>
    <phoneticPr fontId="1" type="noConversion"/>
  </si>
  <si>
    <t>Dependability</t>
    <phoneticPr fontId="1" type="noConversion"/>
  </si>
  <si>
    <t>Stability</t>
    <phoneticPr fontId="1" type="noConversion"/>
  </si>
  <si>
    <t>Economy</t>
    <phoneticPr fontId="1" type="noConversion"/>
  </si>
  <si>
    <t>Eco-Friendliness</t>
    <phoneticPr fontId="1" type="noConversion"/>
  </si>
  <si>
    <t>区间化</t>
    <phoneticPr fontId="1" type="noConversion"/>
  </si>
  <si>
    <t>组合权重</t>
    <phoneticPr fontId="1" type="noConversion"/>
  </si>
  <si>
    <t>维度权重</t>
    <phoneticPr fontId="1" type="noConversion"/>
  </si>
  <si>
    <t>权重</t>
    <phoneticPr fontId="1" type="noConversion"/>
  </si>
  <si>
    <r>
      <t>EWM</t>
    </r>
    <r>
      <rPr>
        <sz val="11"/>
        <rFont val="宋体"/>
        <family val="1"/>
        <charset val="134"/>
      </rPr>
      <t>权重</t>
    </r>
    <phoneticPr fontId="1" type="noConversion"/>
  </si>
  <si>
    <r>
      <t>FAHP</t>
    </r>
    <r>
      <rPr>
        <sz val="11"/>
        <rFont val="宋体"/>
        <family val="1"/>
        <charset val="134"/>
      </rPr>
      <t>权重</t>
    </r>
    <phoneticPr fontId="1" type="noConversion"/>
  </si>
  <si>
    <t>灵活性</t>
  </si>
  <si>
    <t>可靠性</t>
  </si>
  <si>
    <t>稳定性</t>
  </si>
  <si>
    <t>经济性</t>
  </si>
  <si>
    <t>环保性</t>
  </si>
  <si>
    <t>光伏</t>
  </si>
  <si>
    <t>风电</t>
  </si>
  <si>
    <t>抽水蓄能</t>
  </si>
  <si>
    <t>蓄电池</t>
  </si>
  <si>
    <t>燃气轮机</t>
  </si>
  <si>
    <t>火电</t>
  </si>
  <si>
    <t>水电</t>
  </si>
  <si>
    <t>核电</t>
  </si>
  <si>
    <t>Flexibility</t>
  </si>
  <si>
    <t>Dependability</t>
  </si>
  <si>
    <t>Stability</t>
  </si>
  <si>
    <t>Economy</t>
  </si>
  <si>
    <t>Eco-Friendliness</t>
  </si>
  <si>
    <t>Solar Power</t>
  </si>
  <si>
    <t>Wind Power</t>
  </si>
  <si>
    <t>Pumped Storage</t>
  </si>
  <si>
    <t>Battery Storage</t>
  </si>
  <si>
    <t>Gas Turbine</t>
  </si>
  <si>
    <t>Thermal Power</t>
  </si>
  <si>
    <t>Hydropower</t>
  </si>
  <si>
    <t>Nuclear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</si>
</sst>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00_ "/>
    <numFmt numFmtId="177" formatCode="0.0_);[Red]\(0.0\)"/>
    <numFmt numFmtId="178" formatCode="0.0000_);[Red]\(0.0000\)"/>
    <numFmt numFmtId="179" formatCode="0.0000_ "/>
    <numFmt numFmtId="180" formatCode="0.00000_ "/>
    <numFmt numFmtId="181" formatCode="0.00000_);[Red]\(0.00000\)"/>
  </numFmts>
  <fonts count="8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0"/>
      <name val="华文中宋"/>
      <family val="3"/>
      <charset val="134"/>
    </font>
    <font>
      <sz val="11"/>
      <name val="华文中宋"/>
      <family val="3"/>
      <charset val="134"/>
    </font>
    <font>
      <sz val="11"/>
      <name val="Times New Roman"/>
      <family val="1"/>
    </font>
    <font>
      <sz val="11"/>
      <name val="Times New Roman"/>
      <family val="3"/>
    </font>
    <font>
      <b/>
      <sz val="11"/>
      <name val="Times New Roman"/>
      <family val="1"/>
    </font>
    <font>
      <sz val="11"/>
      <name val="宋体"/>
      <family val="1"/>
      <charset val="134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2" borderId="0" applyAlignment="0">
      <alignment horizontal="center" vertical="center"/>
    </xf>
  </cellStyleXfs>
  <cellXfs count="80">
    <xf numFmtId="0" fontId="0" fillId="0" borderId="0" xfId="0">
      <alignment vertical="center"/>
    </xf>
    <xf numFmtId="0" fontId="4" fillId="3" borderId="0" xfId="1" applyFont="1" applyFill="1" applyAlignment="1">
      <alignment horizontal="center" vertical="center"/>
    </xf>
    <xf numFmtId="0" fontId="4" fillId="3" borderId="11" xfId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0" fontId="4" fillId="3" borderId="12" xfId="1" applyFont="1" applyFill="1" applyBorder="1" applyAlignment="1">
      <alignment horizontal="center" vertical="center"/>
    </xf>
    <xf numFmtId="0" fontId="4" fillId="3" borderId="13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4" fillId="3" borderId="15" xfId="1" applyFont="1" applyFill="1" applyBorder="1" applyAlignment="1">
      <alignment horizontal="center" vertical="center"/>
    </xf>
    <xf numFmtId="177" fontId="4" fillId="3" borderId="12" xfId="1" applyNumberFormat="1" applyFont="1" applyFill="1" applyBorder="1" applyAlignment="1">
      <alignment horizontal="center" vertical="center"/>
    </xf>
    <xf numFmtId="177" fontId="4" fillId="3" borderId="11" xfId="1" applyNumberFormat="1" applyFont="1" applyFill="1" applyBorder="1" applyAlignment="1">
      <alignment horizontal="center" vertical="center"/>
    </xf>
    <xf numFmtId="180" fontId="4" fillId="3" borderId="14" xfId="1" applyNumberFormat="1" applyFont="1" applyFill="1" applyBorder="1" applyAlignment="1">
      <alignment horizontal="center" vertical="center"/>
    </xf>
    <xf numFmtId="0" fontId="4" fillId="3" borderId="14" xfId="1" applyFont="1" applyFill="1" applyBorder="1" applyAlignment="1">
      <alignment horizontal="center" vertical="center"/>
    </xf>
    <xf numFmtId="0" fontId="4" fillId="3" borderId="6" xfId="1" applyFont="1" applyFill="1" applyBorder="1" applyAlignment="1">
      <alignment horizontal="center" vertical="center"/>
    </xf>
    <xf numFmtId="178" fontId="4" fillId="3" borderId="0" xfId="1" applyNumberFormat="1" applyFont="1" applyFill="1" applyAlignment="1">
      <alignment horizontal="center" vertical="center"/>
    </xf>
    <xf numFmtId="176" fontId="4" fillId="3" borderId="2" xfId="1" applyNumberFormat="1" applyFont="1" applyFill="1" applyBorder="1" applyAlignment="1">
      <alignment horizontal="center" vertical="center"/>
    </xf>
    <xf numFmtId="176" fontId="4" fillId="3" borderId="3" xfId="1" applyNumberFormat="1" applyFont="1" applyFill="1" applyBorder="1" applyAlignment="1">
      <alignment horizontal="center" vertical="center"/>
    </xf>
    <xf numFmtId="176" fontId="4" fillId="3" borderId="4" xfId="1" applyNumberFormat="1" applyFont="1" applyFill="1" applyBorder="1" applyAlignment="1">
      <alignment horizontal="center" vertical="center"/>
    </xf>
    <xf numFmtId="176" fontId="4" fillId="3" borderId="0" xfId="1" applyNumberFormat="1" applyFont="1" applyFill="1" applyAlignment="1">
      <alignment horizontal="center" vertical="center"/>
    </xf>
    <xf numFmtId="181" fontId="4" fillId="3" borderId="2" xfId="1" applyNumberFormat="1" applyFont="1" applyFill="1" applyBorder="1" applyAlignment="1">
      <alignment horizontal="center" vertical="center"/>
    </xf>
    <xf numFmtId="181" fontId="4" fillId="3" borderId="3" xfId="1" applyNumberFormat="1" applyFont="1" applyFill="1" applyBorder="1" applyAlignment="1">
      <alignment horizontal="center" vertical="center"/>
    </xf>
    <xf numFmtId="181" fontId="4" fillId="3" borderId="4" xfId="1" applyNumberFormat="1" applyFont="1" applyFill="1" applyBorder="1" applyAlignment="1">
      <alignment horizontal="center" vertical="center"/>
    </xf>
    <xf numFmtId="181" fontId="4" fillId="3" borderId="0" xfId="1" applyNumberFormat="1" applyFont="1" applyFill="1" applyAlignment="1">
      <alignment horizontal="center" vertical="center"/>
    </xf>
    <xf numFmtId="181" fontId="4" fillId="3" borderId="14" xfId="1" applyNumberFormat="1" applyFont="1" applyFill="1" applyBorder="1" applyAlignment="1">
      <alignment horizontal="center" vertical="center"/>
    </xf>
    <xf numFmtId="181" fontId="4" fillId="3" borderId="6" xfId="1" applyNumberFormat="1" applyFont="1" applyFill="1" applyBorder="1" applyAlignment="1">
      <alignment horizontal="center" vertical="center"/>
    </xf>
    <xf numFmtId="177" fontId="4" fillId="3" borderId="0" xfId="1" applyNumberFormat="1" applyFont="1" applyFill="1" applyAlignment="1">
      <alignment horizontal="center" vertical="center"/>
    </xf>
    <xf numFmtId="177" fontId="4" fillId="3" borderId="6" xfId="1" applyNumberFormat="1" applyFont="1" applyFill="1" applyBorder="1" applyAlignment="1">
      <alignment horizontal="center" vertical="center"/>
    </xf>
    <xf numFmtId="177" fontId="4" fillId="3" borderId="14" xfId="1" applyNumberFormat="1" applyFont="1" applyFill="1" applyBorder="1" applyAlignment="1">
      <alignment horizontal="center" vertical="center"/>
    </xf>
    <xf numFmtId="179" fontId="4" fillId="3" borderId="0" xfId="1" applyNumberFormat="1" applyFont="1" applyFill="1" applyAlignment="1">
      <alignment horizontal="center" vertical="center"/>
    </xf>
    <xf numFmtId="179" fontId="4" fillId="3" borderId="6" xfId="1" applyNumberFormat="1" applyFont="1" applyFill="1" applyBorder="1" applyAlignment="1">
      <alignment horizontal="center" vertical="center"/>
    </xf>
    <xf numFmtId="179" fontId="4" fillId="3" borderId="13" xfId="1" applyNumberFormat="1" applyFont="1" applyFill="1" applyBorder="1" applyAlignment="1">
      <alignment horizontal="center" vertical="center"/>
    </xf>
    <xf numFmtId="180" fontId="4" fillId="3" borderId="13" xfId="1" applyNumberFormat="1" applyFont="1" applyFill="1" applyBorder="1" applyAlignment="1">
      <alignment horizontal="center" vertical="center"/>
    </xf>
    <xf numFmtId="180" fontId="4" fillId="3" borderId="0" xfId="1" applyNumberFormat="1" applyFont="1" applyFill="1" applyAlignment="1">
      <alignment horizontal="center" vertical="center"/>
    </xf>
    <xf numFmtId="178" fontId="4" fillId="3" borderId="6" xfId="1" applyNumberFormat="1" applyFont="1" applyFill="1" applyBorder="1" applyAlignment="1">
      <alignment horizontal="center" vertical="center"/>
    </xf>
    <xf numFmtId="176" fontId="4" fillId="3" borderId="5" xfId="1" applyNumberFormat="1" applyFont="1" applyFill="1" applyBorder="1" applyAlignment="1">
      <alignment horizontal="center" vertical="center"/>
    </xf>
    <xf numFmtId="176" fontId="4" fillId="3" borderId="6" xfId="1" applyNumberFormat="1" applyFont="1" applyFill="1" applyBorder="1" applyAlignment="1">
      <alignment horizontal="center" vertical="center"/>
    </xf>
    <xf numFmtId="181" fontId="4" fillId="3" borderId="5" xfId="1" applyNumberFormat="1" applyFont="1" applyFill="1" applyBorder="1" applyAlignment="1">
      <alignment horizontal="center" vertical="center"/>
    </xf>
    <xf numFmtId="179" fontId="4" fillId="3" borderId="14" xfId="1" applyNumberFormat="1" applyFont="1" applyFill="1" applyBorder="1" applyAlignment="1">
      <alignment horizontal="center" vertical="center"/>
    </xf>
    <xf numFmtId="0" fontId="4" fillId="3" borderId="5" xfId="1" applyFont="1" applyFill="1" applyBorder="1" applyAlignment="1">
      <alignment horizontal="center" vertical="center"/>
    </xf>
    <xf numFmtId="0" fontId="4" fillId="3" borderId="7" xfId="1" applyFont="1" applyFill="1" applyBorder="1" applyAlignment="1">
      <alignment horizontal="center" vertical="center"/>
    </xf>
    <xf numFmtId="180" fontId="4" fillId="3" borderId="15" xfId="1" applyNumberFormat="1" applyFont="1" applyFill="1" applyBorder="1" applyAlignment="1">
      <alignment horizontal="center" vertical="center"/>
    </xf>
    <xf numFmtId="181" fontId="4" fillId="3" borderId="9" xfId="1" applyNumberFormat="1" applyFont="1" applyFill="1" applyBorder="1" applyAlignment="1">
      <alignment horizontal="center" vertical="center"/>
    </xf>
    <xf numFmtId="0" fontId="4" fillId="3" borderId="9" xfId="1" applyFont="1" applyFill="1" applyBorder="1" applyAlignment="1">
      <alignment horizontal="center" vertical="center"/>
    </xf>
    <xf numFmtId="178" fontId="4" fillId="3" borderId="8" xfId="1" applyNumberFormat="1" applyFont="1" applyFill="1" applyBorder="1" applyAlignment="1">
      <alignment horizontal="center" vertical="center"/>
    </xf>
    <xf numFmtId="178" fontId="4" fillId="3" borderId="9" xfId="1" applyNumberFormat="1" applyFont="1" applyFill="1" applyBorder="1" applyAlignment="1">
      <alignment horizontal="center" vertical="center"/>
    </xf>
    <xf numFmtId="0" fontId="4" fillId="3" borderId="0" xfId="1" applyFont="1" applyFill="1" applyAlignment="1">
      <alignment horizontal="center" vertical="center" wrapText="1"/>
    </xf>
    <xf numFmtId="0" fontId="4" fillId="3" borderId="6" xfId="1" applyFont="1" applyFill="1" applyBorder="1" applyAlignment="1">
      <alignment horizontal="center" vertical="center" wrapText="1"/>
    </xf>
    <xf numFmtId="0" fontId="4" fillId="3" borderId="8" xfId="1" applyFont="1" applyFill="1" applyBorder="1" applyAlignment="1">
      <alignment horizontal="center" vertical="center"/>
    </xf>
    <xf numFmtId="176" fontId="4" fillId="3" borderId="7" xfId="1" applyNumberFormat="1" applyFont="1" applyFill="1" applyBorder="1" applyAlignment="1">
      <alignment horizontal="center" vertical="center"/>
    </xf>
    <xf numFmtId="176" fontId="4" fillId="3" borderId="8" xfId="1" applyNumberFormat="1" applyFont="1" applyFill="1" applyBorder="1" applyAlignment="1">
      <alignment horizontal="center" vertical="center"/>
    </xf>
    <xf numFmtId="176" fontId="4" fillId="3" borderId="9" xfId="1" applyNumberFormat="1" applyFont="1" applyFill="1" applyBorder="1" applyAlignment="1">
      <alignment horizontal="center" vertical="center"/>
    </xf>
    <xf numFmtId="181" fontId="4" fillId="3" borderId="7" xfId="1" applyNumberFormat="1" applyFont="1" applyFill="1" applyBorder="1" applyAlignment="1">
      <alignment horizontal="center" vertical="center"/>
    </xf>
    <xf numFmtId="181" fontId="4" fillId="3" borderId="8" xfId="1" applyNumberFormat="1" applyFont="1" applyFill="1" applyBorder="1" applyAlignment="1">
      <alignment horizontal="center" vertical="center"/>
    </xf>
    <xf numFmtId="181" fontId="4" fillId="3" borderId="15" xfId="1" applyNumberFormat="1" applyFont="1" applyFill="1" applyBorder="1" applyAlignment="1">
      <alignment horizontal="center" vertical="center"/>
    </xf>
    <xf numFmtId="177" fontId="4" fillId="3" borderId="8" xfId="1" applyNumberFormat="1" applyFont="1" applyFill="1" applyBorder="1" applyAlignment="1">
      <alignment horizontal="center" vertical="center"/>
    </xf>
    <xf numFmtId="177" fontId="4" fillId="3" borderId="9" xfId="1" applyNumberFormat="1" applyFont="1" applyFill="1" applyBorder="1" applyAlignment="1">
      <alignment horizontal="center" vertical="center"/>
    </xf>
    <xf numFmtId="177" fontId="4" fillId="3" borderId="15" xfId="1" applyNumberFormat="1" applyFont="1" applyFill="1" applyBorder="1" applyAlignment="1">
      <alignment horizontal="center" vertical="center"/>
    </xf>
    <xf numFmtId="179" fontId="4" fillId="3" borderId="8" xfId="1" applyNumberFormat="1" applyFont="1" applyFill="1" applyBorder="1" applyAlignment="1">
      <alignment horizontal="center" vertical="center"/>
    </xf>
    <xf numFmtId="179" fontId="4" fillId="3" borderId="9" xfId="1" applyNumberFormat="1" applyFont="1" applyFill="1" applyBorder="1" applyAlignment="1">
      <alignment horizontal="center" vertical="center"/>
    </xf>
    <xf numFmtId="179" fontId="4" fillId="3" borderId="15" xfId="1" applyNumberFormat="1" applyFont="1" applyFill="1" applyBorder="1" applyAlignment="1">
      <alignment horizontal="center" vertical="center"/>
    </xf>
    <xf numFmtId="177" fontId="4" fillId="4" borderId="0" xfId="1" applyNumberFormat="1" applyFont="1" applyFill="1" applyAlignment="1">
      <alignment horizontal="center" vertical="center"/>
    </xf>
    <xf numFmtId="177" fontId="4" fillId="4" borderId="6" xfId="1" applyNumberFormat="1" applyFont="1" applyFill="1" applyBorder="1" applyAlignment="1">
      <alignment horizontal="center" vertical="center"/>
    </xf>
    <xf numFmtId="177" fontId="4" fillId="4" borderId="8" xfId="1" applyNumberFormat="1" applyFont="1" applyFill="1" applyBorder="1" applyAlignment="1">
      <alignment horizontal="center" vertical="center"/>
    </xf>
    <xf numFmtId="177" fontId="4" fillId="4" borderId="9" xfId="1" applyNumberFormat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vertical="center"/>
    </xf>
    <xf numFmtId="0" fontId="4" fillId="3" borderId="13" xfId="1" applyFont="1" applyFill="1" applyBorder="1" applyAlignment="1">
      <alignment vertical="center"/>
    </xf>
    <xf numFmtId="0" fontId="5" fillId="3" borderId="0" xfId="1" applyFont="1" applyFill="1" applyAlignment="1">
      <alignment horizontal="center" vertical="center"/>
    </xf>
    <xf numFmtId="0" fontId="4" fillId="3" borderId="0" xfId="1" applyFont="1" applyFill="1" applyAlignment="1">
      <alignment horizontal="center" vertical="center"/>
    </xf>
    <xf numFmtId="0" fontId="4" fillId="3" borderId="14" xfId="1" applyFont="1" applyFill="1" applyBorder="1" applyAlignment="1">
      <alignment horizontal="center" vertical="center"/>
    </xf>
    <xf numFmtId="0" fontId="4" fillId="3" borderId="13" xfId="1" applyFont="1" applyFill="1" applyBorder="1" applyAlignment="1">
      <alignment horizontal="center" vertical="center"/>
    </xf>
    <xf numFmtId="0" fontId="4" fillId="3" borderId="15" xfId="1" applyFont="1" applyFill="1" applyBorder="1" applyAlignment="1">
      <alignment horizontal="center" vertical="center"/>
    </xf>
    <xf numFmtId="0" fontId="4" fillId="3" borderId="10" xfId="1" applyFont="1" applyFill="1" applyBorder="1" applyAlignment="1">
      <alignment horizontal="center" vertical="center"/>
    </xf>
    <xf numFmtId="0" fontId="4" fillId="3" borderId="11" xfId="1" applyFont="1" applyFill="1" applyBorder="1" applyAlignment="1">
      <alignment horizontal="center" vertical="center"/>
    </xf>
    <xf numFmtId="0" fontId="6" fillId="3" borderId="10" xfId="1" applyFont="1" applyFill="1" applyBorder="1" applyAlignment="1">
      <alignment horizontal="center" vertical="center"/>
    </xf>
    <xf numFmtId="0" fontId="6" fillId="3" borderId="11" xfId="1" applyFont="1" applyFill="1" applyBorder="1" applyAlignment="1">
      <alignment horizontal="center" vertical="center"/>
    </xf>
    <xf numFmtId="0" fontId="4" fillId="3" borderId="12" xfId="1" applyFont="1" applyFill="1" applyBorder="1" applyAlignment="1">
      <alignment horizontal="center" vertical="center"/>
    </xf>
    <xf numFmtId="49" fontId="4" fillId="3" borderId="10" xfId="1" applyNumberFormat="1" applyFont="1" applyFill="1" applyBorder="1" applyAlignment="1">
      <alignment horizontal="center" vertical="center"/>
    </xf>
    <xf numFmtId="49" fontId="4" fillId="3" borderId="11" xfId="1" applyNumberFormat="1" applyFont="1" applyFill="1" applyBorder="1" applyAlignment="1">
      <alignment horizontal="center" vertical="center"/>
    </xf>
    <xf numFmtId="0" fontId="7" fillId="3" borderId="0" xfId="1" applyFont="1" applyFill="1" applyAlignment="1">
      <alignment horizontal="center" vertical="center"/>
    </xf>
  </cellXfs>
  <cellStyles count="2">
    <cellStyle name="常规" xfId="0" builtinId="0"/>
    <cellStyle name="黑底白字" xfId="1" xr:uid="{53FDBC77-8969-43B2-AC96-ECCE212DCD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数据矩阵!$DK$2</c:f>
              <c:strCache>
                <c:ptCount val="1"/>
                <c:pt idx="0">
                  <c:v>Solar Power</c:v>
                </c:pt>
              </c:strCache>
            </c:strRef>
          </c:tx>
          <c:spPr>
            <a:ln w="34925" cap="rnd">
              <a:solidFill>
                <a:schemeClr val="dk1">
                  <a:tint val="885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数据矩阵!$DL$1:$DP$1</c:f>
              <c:strCache>
                <c:ptCount val="5"/>
                <c:pt idx="0">
                  <c:v>Flexibility</c:v>
                </c:pt>
                <c:pt idx="1">
                  <c:v>Dependability</c:v>
                </c:pt>
                <c:pt idx="2">
                  <c:v>Stability</c:v>
                </c:pt>
                <c:pt idx="3">
                  <c:v>Economy</c:v>
                </c:pt>
                <c:pt idx="4">
                  <c:v>Eco-Friendliness</c:v>
                </c:pt>
              </c:strCache>
            </c:strRef>
          </c:cat>
          <c:val>
            <c:numRef>
              <c:f>数据矩阵!$DL$2:$DP$2</c:f>
              <c:numCache>
                <c:formatCode>0.0000_);[Red]\(0.0000\)</c:formatCode>
                <c:ptCount val="5"/>
                <c:pt idx="0">
                  <c:v>0.61214738718442063</c:v>
                </c:pt>
                <c:pt idx="1">
                  <c:v>0.39998259817700887</c:v>
                </c:pt>
                <c:pt idx="2">
                  <c:v>0.3</c:v>
                </c:pt>
                <c:pt idx="3">
                  <c:v>0.53643333224641965</c:v>
                </c:pt>
                <c:pt idx="4">
                  <c:v>0.63306472447964335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A1-4FF8-B613-DB7CB0261D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2001936"/>
        <c:axId val="372024496"/>
      </c:radarChart>
      <c:catAx>
        <c:axId val="372001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72024496"/>
        <c:crosses val="autoZero"/>
        <c:auto val="1"/>
        <c:lblAlgn val="ctr"/>
        <c:lblOffset val="100"/>
        <c:noMultiLvlLbl val="0"/>
      </c:catAx>
      <c:valAx>
        <c:axId val="37202449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72001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数据矩阵!$DK$4</c:f>
              <c:strCache>
                <c:ptCount val="1"/>
                <c:pt idx="0">
                  <c:v>Wind Power</c:v>
                </c:pt>
              </c:strCache>
            </c:strRef>
          </c:tx>
          <c:spPr>
            <a:ln w="34925" cap="rnd">
              <a:solidFill>
                <a:schemeClr val="dk1">
                  <a:tint val="885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数据矩阵!$DL$3:$DP$3</c:f>
              <c:strCache>
                <c:ptCount val="5"/>
                <c:pt idx="0">
                  <c:v>Flexibility</c:v>
                </c:pt>
                <c:pt idx="1">
                  <c:v>Dependability</c:v>
                </c:pt>
                <c:pt idx="2">
                  <c:v>Stability</c:v>
                </c:pt>
                <c:pt idx="3">
                  <c:v>Economy</c:v>
                </c:pt>
                <c:pt idx="4">
                  <c:v>Eco-Friendliness</c:v>
                </c:pt>
              </c:strCache>
            </c:strRef>
          </c:cat>
          <c:val>
            <c:numRef>
              <c:f>数据矩阵!$DL$4:$DP$4</c:f>
              <c:numCache>
                <c:formatCode>0.0000_);[Red]\(0.0000\)</c:formatCode>
                <c:ptCount val="5"/>
                <c:pt idx="0">
                  <c:v>0.61838571474730797</c:v>
                </c:pt>
                <c:pt idx="1">
                  <c:v>0.3</c:v>
                </c:pt>
                <c:pt idx="2">
                  <c:v>0.46686313377204136</c:v>
                </c:pt>
                <c:pt idx="3">
                  <c:v>0.65581519502647923</c:v>
                </c:pt>
                <c:pt idx="4">
                  <c:v>0.66486154178051105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57-407F-B650-7933427DF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1494704"/>
        <c:axId val="481494224"/>
      </c:radarChart>
      <c:catAx>
        <c:axId val="481494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1494224"/>
        <c:crosses val="autoZero"/>
        <c:auto val="1"/>
        <c:lblAlgn val="ctr"/>
        <c:lblOffset val="100"/>
        <c:noMultiLvlLbl val="0"/>
      </c:catAx>
      <c:valAx>
        <c:axId val="48149422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1494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数据矩阵!$DK$6</c:f>
              <c:strCache>
                <c:ptCount val="1"/>
                <c:pt idx="0">
                  <c:v>Pumped Storage</c:v>
                </c:pt>
              </c:strCache>
            </c:strRef>
          </c:tx>
          <c:spPr>
            <a:ln w="34925" cap="rnd">
              <a:solidFill>
                <a:schemeClr val="dk1">
                  <a:tint val="885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数据矩阵!$DL$5:$DP$5</c:f>
              <c:strCache>
                <c:ptCount val="5"/>
                <c:pt idx="0">
                  <c:v>Flexibility</c:v>
                </c:pt>
                <c:pt idx="1">
                  <c:v>Dependability</c:v>
                </c:pt>
                <c:pt idx="2">
                  <c:v>Stability</c:v>
                </c:pt>
                <c:pt idx="3">
                  <c:v>Economy</c:v>
                </c:pt>
                <c:pt idx="4">
                  <c:v>Eco-Friendliness</c:v>
                </c:pt>
              </c:strCache>
            </c:strRef>
          </c:cat>
          <c:val>
            <c:numRef>
              <c:f>数据矩阵!$DL$6:$DP$6</c:f>
              <c:numCache>
                <c:formatCode>0.0000_);[Red]\(0.0000\)</c:formatCode>
                <c:ptCount val="5"/>
                <c:pt idx="0">
                  <c:v>0.89999999999999991</c:v>
                </c:pt>
                <c:pt idx="1">
                  <c:v>0.89999999999999991</c:v>
                </c:pt>
                <c:pt idx="2">
                  <c:v>0.89999999999999991</c:v>
                </c:pt>
                <c:pt idx="3">
                  <c:v>0.53823133115207389</c:v>
                </c:pt>
                <c:pt idx="4">
                  <c:v>0.89999999999999991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1C-4ABE-9695-F40B0BB8D0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4225696"/>
        <c:axId val="684220896"/>
      </c:radarChart>
      <c:catAx>
        <c:axId val="684225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84220896"/>
        <c:crosses val="autoZero"/>
        <c:auto val="1"/>
        <c:lblAlgn val="ctr"/>
        <c:lblOffset val="100"/>
        <c:noMultiLvlLbl val="0"/>
      </c:catAx>
      <c:valAx>
        <c:axId val="68422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84225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数据矩阵!$DK$8</c:f>
              <c:strCache>
                <c:ptCount val="1"/>
                <c:pt idx="0">
                  <c:v>Battery Storage</c:v>
                </c:pt>
              </c:strCache>
            </c:strRef>
          </c:tx>
          <c:spPr>
            <a:ln w="34925" cap="rnd">
              <a:solidFill>
                <a:schemeClr val="dk1">
                  <a:tint val="885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数据矩阵!$DL$7:$DP$7</c:f>
              <c:strCache>
                <c:ptCount val="5"/>
                <c:pt idx="0">
                  <c:v>Flexibility</c:v>
                </c:pt>
                <c:pt idx="1">
                  <c:v>Dependability</c:v>
                </c:pt>
                <c:pt idx="2">
                  <c:v>Stability</c:v>
                </c:pt>
                <c:pt idx="3">
                  <c:v>Economy</c:v>
                </c:pt>
                <c:pt idx="4">
                  <c:v>Eco-Friendliness</c:v>
                </c:pt>
              </c:strCache>
            </c:strRef>
          </c:cat>
          <c:val>
            <c:numRef>
              <c:f>数据矩阵!$DL$8:$DP$8</c:f>
              <c:numCache>
                <c:formatCode>0.0000_);[Red]\(0.0000\)</c:formatCode>
                <c:ptCount val="5"/>
                <c:pt idx="0">
                  <c:v>0.89999999999999991</c:v>
                </c:pt>
                <c:pt idx="1">
                  <c:v>0.89999999999999991</c:v>
                </c:pt>
                <c:pt idx="2">
                  <c:v>0.89999999999999991</c:v>
                </c:pt>
                <c:pt idx="3">
                  <c:v>0.53286419238009475</c:v>
                </c:pt>
                <c:pt idx="4">
                  <c:v>0.89999999999999991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05-46D1-8C7B-7E83F69BC2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4230016"/>
        <c:axId val="684233856"/>
      </c:radarChart>
      <c:catAx>
        <c:axId val="684230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84233856"/>
        <c:crosses val="autoZero"/>
        <c:auto val="1"/>
        <c:lblAlgn val="ctr"/>
        <c:lblOffset val="100"/>
        <c:noMultiLvlLbl val="0"/>
      </c:catAx>
      <c:valAx>
        <c:axId val="68423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84230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数据矩阵!$DK$10</c:f>
              <c:strCache>
                <c:ptCount val="1"/>
                <c:pt idx="0">
                  <c:v>Gas Turbine</c:v>
                </c:pt>
              </c:strCache>
            </c:strRef>
          </c:tx>
          <c:spPr>
            <a:ln w="34925" cap="rnd">
              <a:solidFill>
                <a:schemeClr val="dk1">
                  <a:tint val="885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数据矩阵!$DL$9:$DP$9</c:f>
              <c:strCache>
                <c:ptCount val="5"/>
                <c:pt idx="0">
                  <c:v>Flexibility</c:v>
                </c:pt>
                <c:pt idx="1">
                  <c:v>Dependability</c:v>
                </c:pt>
                <c:pt idx="2">
                  <c:v>Stability</c:v>
                </c:pt>
                <c:pt idx="3">
                  <c:v>Economy</c:v>
                </c:pt>
                <c:pt idx="4">
                  <c:v>Eco-Friendliness</c:v>
                </c:pt>
              </c:strCache>
            </c:strRef>
          </c:cat>
          <c:val>
            <c:numRef>
              <c:f>数据矩阵!$DL$10:$DP$10</c:f>
              <c:numCache>
                <c:formatCode>0.0000_);[Red]\(0.0000\)</c:formatCode>
                <c:ptCount val="5"/>
                <c:pt idx="0">
                  <c:v>0.62012524590117302</c:v>
                </c:pt>
                <c:pt idx="1">
                  <c:v>0.5370257472375598</c:v>
                </c:pt>
                <c:pt idx="2">
                  <c:v>0.80838405097361443</c:v>
                </c:pt>
                <c:pt idx="3">
                  <c:v>0.3</c:v>
                </c:pt>
                <c:pt idx="4">
                  <c:v>0.51243697618372586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C0-4150-B0F4-4538914A3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4245376"/>
        <c:axId val="684236736"/>
      </c:radarChart>
      <c:catAx>
        <c:axId val="68424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84236736"/>
        <c:crosses val="autoZero"/>
        <c:auto val="1"/>
        <c:lblAlgn val="ctr"/>
        <c:lblOffset val="100"/>
        <c:noMultiLvlLbl val="0"/>
      </c:catAx>
      <c:valAx>
        <c:axId val="684236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84245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数据矩阵!$DK$12</c:f>
              <c:strCache>
                <c:ptCount val="1"/>
                <c:pt idx="0">
                  <c:v>Thermal Power</c:v>
                </c:pt>
              </c:strCache>
            </c:strRef>
          </c:tx>
          <c:spPr>
            <a:ln w="34925" cap="rnd">
              <a:solidFill>
                <a:schemeClr val="dk1">
                  <a:tint val="885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数据矩阵!$DL$11:$DP$11</c:f>
              <c:strCache>
                <c:ptCount val="5"/>
                <c:pt idx="0">
                  <c:v>Flexibility</c:v>
                </c:pt>
                <c:pt idx="1">
                  <c:v>Dependability</c:v>
                </c:pt>
                <c:pt idx="2">
                  <c:v>Stability</c:v>
                </c:pt>
                <c:pt idx="3">
                  <c:v>Economy</c:v>
                </c:pt>
                <c:pt idx="4">
                  <c:v>Eco-Friendliness</c:v>
                </c:pt>
              </c:strCache>
            </c:strRef>
          </c:cat>
          <c:val>
            <c:numRef>
              <c:f>数据矩阵!$DL$12:$DP$12</c:f>
              <c:numCache>
                <c:formatCode>0.0000_);[Red]\(0.0000\)</c:formatCode>
                <c:ptCount val="5"/>
                <c:pt idx="0">
                  <c:v>0.3</c:v>
                </c:pt>
                <c:pt idx="1">
                  <c:v>0.89999999999999991</c:v>
                </c:pt>
                <c:pt idx="2">
                  <c:v>0.81228137580235948</c:v>
                </c:pt>
                <c:pt idx="3">
                  <c:v>0.89999999999999991</c:v>
                </c:pt>
                <c:pt idx="4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28-48F2-ADC5-A5585EDB8C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4191136"/>
        <c:axId val="684217536"/>
      </c:radarChart>
      <c:catAx>
        <c:axId val="684191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84217536"/>
        <c:crosses val="autoZero"/>
        <c:auto val="1"/>
        <c:lblAlgn val="ctr"/>
        <c:lblOffset val="100"/>
        <c:noMultiLvlLbl val="0"/>
      </c:catAx>
      <c:valAx>
        <c:axId val="684217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84191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数据矩阵!$DK$14</c:f>
              <c:strCache>
                <c:ptCount val="1"/>
                <c:pt idx="0">
                  <c:v>Hydropower</c:v>
                </c:pt>
              </c:strCache>
            </c:strRef>
          </c:tx>
          <c:spPr>
            <a:ln w="34925" cap="rnd">
              <a:solidFill>
                <a:schemeClr val="dk1">
                  <a:tint val="885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数据矩阵!$DL$13:$DP$13</c:f>
              <c:strCache>
                <c:ptCount val="5"/>
                <c:pt idx="0">
                  <c:v>Flexibility</c:v>
                </c:pt>
                <c:pt idx="1">
                  <c:v>Dependability</c:v>
                </c:pt>
                <c:pt idx="2">
                  <c:v>Stability</c:v>
                </c:pt>
                <c:pt idx="3">
                  <c:v>Economy</c:v>
                </c:pt>
                <c:pt idx="4">
                  <c:v>Eco-Friendliness</c:v>
                </c:pt>
              </c:strCache>
            </c:strRef>
          </c:cat>
          <c:val>
            <c:numRef>
              <c:f>数据矩阵!$DL$14:$DP$14</c:f>
              <c:numCache>
                <c:formatCode>0.0000_);[Red]\(0.0000\)</c:formatCode>
                <c:ptCount val="5"/>
                <c:pt idx="0">
                  <c:v>0.5991313130871615</c:v>
                </c:pt>
                <c:pt idx="1">
                  <c:v>0.89999999999999991</c:v>
                </c:pt>
                <c:pt idx="2">
                  <c:v>0.81228137580235948</c:v>
                </c:pt>
                <c:pt idx="3">
                  <c:v>0.72016378133112058</c:v>
                </c:pt>
                <c:pt idx="4">
                  <c:v>0.71290871192887884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AA-44C9-8F0F-256ABA269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2015376"/>
        <c:axId val="372009136"/>
      </c:radarChart>
      <c:catAx>
        <c:axId val="37201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72009136"/>
        <c:crosses val="autoZero"/>
        <c:auto val="1"/>
        <c:lblAlgn val="ctr"/>
        <c:lblOffset val="100"/>
        <c:noMultiLvlLbl val="0"/>
      </c:catAx>
      <c:valAx>
        <c:axId val="37200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72015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数据矩阵!$DK$16</c:f>
              <c:strCache>
                <c:ptCount val="1"/>
                <c:pt idx="0">
                  <c:v>Nuclear Power</c:v>
                </c:pt>
              </c:strCache>
            </c:strRef>
          </c:tx>
          <c:spPr>
            <a:ln w="34925" cap="rnd">
              <a:solidFill>
                <a:schemeClr val="dk1">
                  <a:tint val="885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数据矩阵!$DL$15:$DP$15</c:f>
              <c:strCache>
                <c:ptCount val="5"/>
                <c:pt idx="0">
                  <c:v>Flexibility</c:v>
                </c:pt>
                <c:pt idx="1">
                  <c:v>Dependability</c:v>
                </c:pt>
                <c:pt idx="2">
                  <c:v>Stability</c:v>
                </c:pt>
                <c:pt idx="3">
                  <c:v>Economy</c:v>
                </c:pt>
                <c:pt idx="4">
                  <c:v>Eco-Friendliness</c:v>
                </c:pt>
              </c:strCache>
            </c:strRef>
          </c:cat>
          <c:val>
            <c:numRef>
              <c:f>数据矩阵!$DL$16:$DP$16</c:f>
              <c:numCache>
                <c:formatCode>0.0000_);[Red]\(0.0000\)</c:formatCode>
                <c:ptCount val="5"/>
                <c:pt idx="0">
                  <c:v>0.31473157241132088</c:v>
                </c:pt>
                <c:pt idx="1">
                  <c:v>0.89999999999999991</c:v>
                </c:pt>
                <c:pt idx="2">
                  <c:v>0.81228137580235948</c:v>
                </c:pt>
                <c:pt idx="3">
                  <c:v>0.49428479132461145</c:v>
                </c:pt>
                <c:pt idx="4">
                  <c:v>0.57083135192949086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51-4D79-8EF0-62F5A29C8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1637392"/>
        <c:axId val="481652752"/>
      </c:radarChart>
      <c:catAx>
        <c:axId val="481637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1652752"/>
        <c:crosses val="autoZero"/>
        <c:auto val="1"/>
        <c:lblAlgn val="ctr"/>
        <c:lblOffset val="100"/>
        <c:noMultiLvlLbl val="0"/>
      </c:catAx>
      <c:valAx>
        <c:axId val="48165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1637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数据矩阵!$DK$18</c:f>
              <c:strCache>
                <c:ptCount val="1"/>
                <c:pt idx="0">
                  <c:v>VPP</c:v>
                </c:pt>
              </c:strCache>
            </c:strRef>
          </c:tx>
          <c:spPr>
            <a:ln w="34925" cap="rnd">
              <a:solidFill>
                <a:schemeClr val="dk1">
                  <a:tint val="885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数据矩阵!$DL$17:$DP$17</c:f>
              <c:strCache>
                <c:ptCount val="5"/>
                <c:pt idx="0">
                  <c:v>Flexibility</c:v>
                </c:pt>
                <c:pt idx="1">
                  <c:v>Dependability</c:v>
                </c:pt>
                <c:pt idx="2">
                  <c:v>Stability</c:v>
                </c:pt>
                <c:pt idx="3">
                  <c:v>Economy</c:v>
                </c:pt>
                <c:pt idx="4">
                  <c:v>Eco-Friendliness</c:v>
                </c:pt>
              </c:strCache>
            </c:strRef>
          </c:cat>
          <c:val>
            <c:numRef>
              <c:f>数据矩阵!$DL$18:$DP$18</c:f>
              <c:numCache>
                <c:formatCode>General</c:formatCode>
                <c:ptCount val="5"/>
                <c:pt idx="0">
                  <c:v>0.72518421246536757</c:v>
                </c:pt>
                <c:pt idx="1">
                  <c:v>0.56682996435171362</c:v>
                </c:pt>
                <c:pt idx="2">
                  <c:v>0.57657764073546813</c:v>
                </c:pt>
                <c:pt idx="3">
                  <c:v>0.56683658779590429</c:v>
                </c:pt>
                <c:pt idx="4">
                  <c:v>0.74481290592216265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5C-499C-BF44-6D045EA1A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1505744"/>
        <c:axId val="481496144"/>
      </c:radarChart>
      <c:catAx>
        <c:axId val="481505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1496144"/>
        <c:crosses val="autoZero"/>
        <c:auto val="1"/>
        <c:lblAlgn val="ctr"/>
        <c:lblOffset val="100"/>
        <c:noMultiLvlLbl val="0"/>
      </c:catAx>
      <c:valAx>
        <c:axId val="48149614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1505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各资源调节质量评分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dk1">
                    <a:tint val="88500"/>
                    <a:satMod val="103000"/>
                    <a:lumMod val="102000"/>
                    <a:tint val="94000"/>
                  </a:schemeClr>
                </a:gs>
                <a:gs pos="50000">
                  <a:schemeClr val="dk1">
                    <a:tint val="88500"/>
                    <a:satMod val="110000"/>
                    <a:lumMod val="100000"/>
                    <a:shade val="100000"/>
                  </a:schemeClr>
                </a:gs>
                <a:gs pos="100000">
                  <a:schemeClr val="dk1">
                    <a:tint val="885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数据矩阵!$CQ$14:$CQ$21</c:f>
              <c:strCache>
                <c:ptCount val="8"/>
                <c:pt idx="0">
                  <c:v>抽水蓄能</c:v>
                </c:pt>
                <c:pt idx="1">
                  <c:v>蓄电池</c:v>
                </c:pt>
                <c:pt idx="2">
                  <c:v>水电</c:v>
                </c:pt>
                <c:pt idx="3">
                  <c:v>风电</c:v>
                </c:pt>
                <c:pt idx="4">
                  <c:v>光伏</c:v>
                </c:pt>
                <c:pt idx="5">
                  <c:v>燃气轮机</c:v>
                </c:pt>
                <c:pt idx="6">
                  <c:v>核电</c:v>
                </c:pt>
                <c:pt idx="7">
                  <c:v>火电</c:v>
                </c:pt>
              </c:strCache>
            </c:strRef>
          </c:cat>
          <c:val>
            <c:numRef>
              <c:f>数据矩阵!$CS$14:$CS$21</c:f>
              <c:numCache>
                <c:formatCode>0.0000_ </c:formatCode>
                <c:ptCount val="8"/>
                <c:pt idx="0">
                  <c:v>0.87008021106057387</c:v>
                </c:pt>
                <c:pt idx="1">
                  <c:v>0.86964283666046915</c:v>
                </c:pt>
                <c:pt idx="2">
                  <c:v>0.61412583496277506</c:v>
                </c:pt>
                <c:pt idx="3">
                  <c:v>0.56323120909400315</c:v>
                </c:pt>
                <c:pt idx="4">
                  <c:v>0.51938032119215372</c:v>
                </c:pt>
                <c:pt idx="5">
                  <c:v>0.49104735415130552</c:v>
                </c:pt>
                <c:pt idx="6">
                  <c:v>0.36449985775197541</c:v>
                </c:pt>
                <c:pt idx="7">
                  <c:v>0.25488649439076694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39-4AD3-87D5-54A0C951378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864467392"/>
        <c:axId val="864492832"/>
      </c:barChart>
      <c:catAx>
        <c:axId val="864467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4492832"/>
        <c:crosses val="autoZero"/>
        <c:auto val="1"/>
        <c:lblAlgn val="ctr"/>
        <c:lblOffset val="100"/>
        <c:noMultiLvlLbl val="0"/>
      </c:catAx>
      <c:valAx>
        <c:axId val="86449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4467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 paperSize="9" orientation="landscape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调节质量评分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dk1">
                    <a:tint val="88500"/>
                    <a:satMod val="103000"/>
                    <a:lumMod val="102000"/>
                    <a:tint val="94000"/>
                  </a:schemeClr>
                </a:gs>
                <a:gs pos="50000">
                  <a:schemeClr val="dk1">
                    <a:tint val="88500"/>
                    <a:satMod val="110000"/>
                    <a:lumMod val="100000"/>
                    <a:shade val="100000"/>
                  </a:schemeClr>
                </a:gs>
                <a:gs pos="100000">
                  <a:schemeClr val="dk1">
                    <a:tint val="885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数据矩阵!$CQ$25:$CQ$28</c:f>
              <c:strCache>
                <c:ptCount val="4"/>
                <c:pt idx="0">
                  <c:v>VPP</c:v>
                </c:pt>
                <c:pt idx="1">
                  <c:v>水电</c:v>
                </c:pt>
                <c:pt idx="2">
                  <c:v>核电</c:v>
                </c:pt>
                <c:pt idx="3">
                  <c:v>火电</c:v>
                </c:pt>
              </c:strCache>
            </c:strRef>
          </c:cat>
          <c:val>
            <c:numRef>
              <c:f>数据矩阵!$CS$25:$CS$28</c:f>
              <c:numCache>
                <c:formatCode>0.0000_ </c:formatCode>
                <c:ptCount val="4"/>
                <c:pt idx="0">
                  <c:v>0.69669999999999999</c:v>
                </c:pt>
                <c:pt idx="1">
                  <c:v>0.61412839914379813</c:v>
                </c:pt>
                <c:pt idx="2">
                  <c:v>0.36449985775197541</c:v>
                </c:pt>
                <c:pt idx="3">
                  <c:v>0.25494482593839873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31-4537-B553-CFBA41FD2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38360928"/>
        <c:axId val="938368608"/>
      </c:barChart>
      <c:catAx>
        <c:axId val="938360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38368608"/>
        <c:crosses val="autoZero"/>
        <c:auto val="1"/>
        <c:lblAlgn val="ctr"/>
        <c:lblOffset val="100"/>
        <c:noMultiLvlLbl val="0"/>
      </c:catAx>
      <c:valAx>
        <c:axId val="93836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38360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3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80169</xdr:rowOff>
    </xdr:from>
    <xdr:to>
      <xdr:col>8</xdr:col>
      <xdr:colOff>179437</xdr:colOff>
      <xdr:row>26</xdr:row>
      <xdr:rowOff>127707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465B59D-C5AB-7931-5702-A9299B97EE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137321</xdr:rowOff>
    </xdr:from>
    <xdr:to>
      <xdr:col>8</xdr:col>
      <xdr:colOff>179437</xdr:colOff>
      <xdr:row>37</xdr:row>
      <xdr:rowOff>180095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6C51AF41-F436-4B35-9B16-D84DEC25CE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37</xdr:row>
      <xdr:rowOff>187320</xdr:rowOff>
    </xdr:from>
    <xdr:to>
      <xdr:col>8</xdr:col>
      <xdr:colOff>179437</xdr:colOff>
      <xdr:row>48</xdr:row>
      <xdr:rowOff>230095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CD32BEB-FCA0-4A54-925E-5D47FB57D9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22226</xdr:colOff>
      <xdr:row>15</xdr:row>
      <xdr:rowOff>80170</xdr:rowOff>
    </xdr:from>
    <xdr:to>
      <xdr:col>17</xdr:col>
      <xdr:colOff>77839</xdr:colOff>
      <xdr:row>26</xdr:row>
      <xdr:rowOff>122945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D501768C-149F-45D1-9A62-0AB9268B31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22226</xdr:colOff>
      <xdr:row>26</xdr:row>
      <xdr:rowOff>133346</xdr:rowOff>
    </xdr:from>
    <xdr:to>
      <xdr:col>17</xdr:col>
      <xdr:colOff>77839</xdr:colOff>
      <xdr:row>37</xdr:row>
      <xdr:rowOff>176121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E8FE07E3-029B-4FA7-99F0-64189FBCEC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25400</xdr:colOff>
      <xdr:row>37</xdr:row>
      <xdr:rowOff>187316</xdr:rowOff>
    </xdr:from>
    <xdr:to>
      <xdr:col>17</xdr:col>
      <xdr:colOff>81013</xdr:colOff>
      <xdr:row>48</xdr:row>
      <xdr:rowOff>230091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71EC7766-4CE4-4E2E-9ECC-1214601A54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114296</xdr:colOff>
      <xdr:row>15</xdr:row>
      <xdr:rowOff>79376</xdr:rowOff>
    </xdr:from>
    <xdr:to>
      <xdr:col>25</xdr:col>
      <xdr:colOff>303258</xdr:colOff>
      <xdr:row>26</xdr:row>
      <xdr:rowOff>125326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54BBA199-245C-45C2-8673-AE8B119A5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114299</xdr:colOff>
      <xdr:row>26</xdr:row>
      <xdr:rowOff>133351</xdr:rowOff>
    </xdr:from>
    <xdr:to>
      <xdr:col>25</xdr:col>
      <xdr:colOff>303261</xdr:colOff>
      <xdr:row>37</xdr:row>
      <xdr:rowOff>176126</xdr:rowOff>
    </xdr:to>
    <xdr:graphicFrame macro="">
      <xdr:nvGraphicFramePr>
        <xdr:cNvPr id="16" name="图表 15">
          <a:extLst>
            <a:ext uri="{FF2B5EF4-FFF2-40B4-BE49-F238E27FC236}">
              <a16:creationId xmlns:a16="http://schemas.microsoft.com/office/drawing/2014/main" id="{D0BBF39F-187F-4B99-9CA3-FD5A8A7489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114300</xdr:colOff>
      <xdr:row>37</xdr:row>
      <xdr:rowOff>184151</xdr:rowOff>
    </xdr:from>
    <xdr:to>
      <xdr:col>25</xdr:col>
      <xdr:colOff>303262</xdr:colOff>
      <xdr:row>48</xdr:row>
      <xdr:rowOff>230101</xdr:rowOff>
    </xdr:to>
    <xdr:graphicFrame macro="">
      <xdr:nvGraphicFramePr>
        <xdr:cNvPr id="18" name="图表 17">
          <a:extLst>
            <a:ext uri="{FF2B5EF4-FFF2-40B4-BE49-F238E27FC236}">
              <a16:creationId xmlns:a16="http://schemas.microsoft.com/office/drawing/2014/main" id="{A623DED2-2ABB-4E84-8FF8-CE85C15557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97</xdr:col>
      <xdr:colOff>294791</xdr:colOff>
      <xdr:row>11</xdr:row>
      <xdr:rowOff>278215</xdr:rowOff>
    </xdr:from>
    <xdr:to>
      <xdr:col>105</xdr:col>
      <xdr:colOff>200837</xdr:colOff>
      <xdr:row>21</xdr:row>
      <xdr:rowOff>119360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1F8345EC-08F5-2574-423F-581151C29F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97</xdr:col>
      <xdr:colOff>268741</xdr:colOff>
      <xdr:row>22</xdr:row>
      <xdr:rowOff>57150</xdr:rowOff>
    </xdr:from>
    <xdr:to>
      <xdr:col>105</xdr:col>
      <xdr:colOff>166688</xdr:colOff>
      <xdr:row>31</xdr:row>
      <xdr:rowOff>167368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5529C279-8155-6392-05D8-78095FFFE4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8E622-516C-471D-B5C9-7CE9B9F40F10}">
  <sheetPr>
    <pageSetUpPr fitToPage="1"/>
  </sheetPr>
  <dimension ref="A1:EE34"/>
  <sheetViews>
    <sheetView tabSelected="1" zoomScale="85" zoomScaleNormal="85" workbookViewId="0">
      <selection activeCell="DW19" sqref="DW19"/>
    </sheetView>
  </sheetViews>
  <sheetFormatPr defaultColWidth="9.06640625" defaultRowHeight="23" customHeight="1" x14ac:dyDescent="0.4"/>
  <cols>
    <col min="1" max="1" width="6.86328125" style="1" bestFit="1" customWidth="1"/>
    <col min="2" max="2" width="14.86328125" style="1" bestFit="1" customWidth="1"/>
    <col min="3" max="3" width="4.9296875" style="1" bestFit="1" customWidth="1"/>
    <col min="4" max="5" width="5.265625" style="1" bestFit="1" customWidth="1"/>
    <col min="6" max="6" width="8.796875" style="1" bestFit="1" customWidth="1"/>
    <col min="7" max="7" width="6.86328125" style="1" bestFit="1" customWidth="1"/>
    <col min="8" max="8" width="8.796875" style="1" bestFit="1" customWidth="1"/>
    <col min="9" max="9" width="6.6640625" style="1" bestFit="1" customWidth="1"/>
    <col min="10" max="10" width="4.9296875" style="1" bestFit="1" customWidth="1"/>
    <col min="11" max="11" width="6.6640625" style="1" bestFit="1" customWidth="1"/>
    <col min="12" max="12" width="7.06640625" style="1" bestFit="1" customWidth="1"/>
    <col min="13" max="13" width="6.86328125" style="1" bestFit="1" customWidth="1"/>
    <col min="14" max="14" width="14.86328125" style="1" bestFit="1" customWidth="1"/>
    <col min="15" max="15" width="4.9296875" style="1" bestFit="1" customWidth="1"/>
    <col min="16" max="17" width="5.73046875" style="1" bestFit="1" customWidth="1"/>
    <col min="18" max="18" width="8.796875" style="1" bestFit="1" customWidth="1"/>
    <col min="19" max="19" width="6.86328125" style="1" bestFit="1" customWidth="1"/>
    <col min="20" max="20" width="8.796875" style="1" bestFit="1" customWidth="1"/>
    <col min="21" max="23" width="5.73046875" style="1" bestFit="1" customWidth="1"/>
    <col min="24" max="24" width="7.19921875" style="1" bestFit="1" customWidth="1"/>
    <col min="25" max="25" width="6.86328125" style="1" bestFit="1" customWidth="1"/>
    <col min="26" max="26" width="14.86328125" style="1" bestFit="1" customWidth="1"/>
    <col min="27" max="27" width="4.9296875" style="1" bestFit="1" customWidth="1"/>
    <col min="28" max="29" width="6.86328125" style="1" bestFit="1" customWidth="1"/>
    <col min="30" max="30" width="8.796875" style="1" bestFit="1" customWidth="1"/>
    <col min="31" max="31" width="6.86328125" style="1" bestFit="1" customWidth="1"/>
    <col min="32" max="32" width="8.796875" style="1" bestFit="1" customWidth="1"/>
    <col min="33" max="36" width="6.86328125" style="1" bestFit="1" customWidth="1"/>
    <col min="37" max="37" width="9.06640625" style="1"/>
    <col min="38" max="38" width="6.86328125" style="1" bestFit="1" customWidth="1"/>
    <col min="39" max="39" width="14.86328125" style="1" bestFit="1" customWidth="1"/>
    <col min="40" max="40" width="4.9296875" style="1" bestFit="1" customWidth="1"/>
    <col min="41" max="42" width="7.796875" style="1" bestFit="1" customWidth="1"/>
    <col min="43" max="43" width="8.796875" style="1" bestFit="1" customWidth="1"/>
    <col min="44" max="44" width="7.796875" style="1" bestFit="1" customWidth="1"/>
    <col min="45" max="45" width="8.796875" style="1" bestFit="1" customWidth="1"/>
    <col min="46" max="48" width="7.796875" style="1" bestFit="1" customWidth="1"/>
    <col min="49" max="49" width="3.6640625" style="1" customWidth="1"/>
    <col min="50" max="51" width="7.796875" style="1" bestFit="1" customWidth="1"/>
    <col min="52" max="52" width="4.1328125" style="1" customWidth="1"/>
    <col min="53" max="53" width="9.6640625" style="1" bestFit="1" customWidth="1"/>
    <col min="54" max="68" width="4.06640625" style="1" bestFit="1" customWidth="1"/>
    <col min="69" max="69" width="4.86328125" style="1" customWidth="1"/>
    <col min="70" max="70" width="4.06640625" style="1" bestFit="1" customWidth="1"/>
    <col min="71" max="84" width="6.6640625" style="1" bestFit="1" customWidth="1"/>
    <col min="85" max="85" width="4.265625" style="1" customWidth="1"/>
    <col min="86" max="86" width="9.73046875" style="1" bestFit="1" customWidth="1"/>
    <col min="87" max="87" width="3.6640625" style="1" customWidth="1"/>
    <col min="88" max="88" width="8.796875" style="1" bestFit="1" customWidth="1"/>
    <col min="89" max="89" width="5.1328125" style="1" customWidth="1"/>
    <col min="90" max="90" width="6.86328125" style="1" bestFit="1" customWidth="1"/>
    <col min="91" max="91" width="4.9296875" style="1" bestFit="1" customWidth="1"/>
    <col min="92" max="93" width="8.796875" style="1" bestFit="1" customWidth="1"/>
    <col min="94" max="94" width="9.06640625" style="1"/>
    <col min="95" max="95" width="8.796875" style="1" bestFit="1" customWidth="1"/>
    <col min="96" max="96" width="4.9296875" style="1" bestFit="1" customWidth="1"/>
    <col min="97" max="97" width="12.86328125" style="1" bestFit="1" customWidth="1"/>
    <col min="98" max="98" width="9.06640625" style="1"/>
    <col min="99" max="99" width="8.796875" style="1" bestFit="1" customWidth="1"/>
    <col min="100" max="100" width="4.9296875" style="1" bestFit="1" customWidth="1"/>
    <col min="101" max="105" width="6.86328125" style="1" bestFit="1" customWidth="1"/>
    <col min="106" max="106" width="9.06640625" style="1"/>
    <col min="107" max="107" width="8.796875" style="1" bestFit="1" customWidth="1"/>
    <col min="108" max="108" width="4.9296875" style="1" bestFit="1" customWidth="1"/>
    <col min="109" max="113" width="6.86328125" style="1" bestFit="1" customWidth="1"/>
    <col min="114" max="114" width="9.06640625" style="1"/>
    <col min="115" max="115" width="13.59765625" style="1" bestFit="1" customWidth="1"/>
    <col min="116" max="116" width="11.3984375" style="1" bestFit="1" customWidth="1"/>
    <col min="117" max="117" width="11.86328125" style="1" bestFit="1" customWidth="1"/>
    <col min="118" max="119" width="11.3984375" style="1" bestFit="1" customWidth="1"/>
    <col min="120" max="120" width="14.1328125" style="1" bestFit="1" customWidth="1"/>
    <col min="121" max="121" width="9.06640625" style="1"/>
    <col min="122" max="122" width="9.73046875" style="1" bestFit="1" customWidth="1"/>
    <col min="123" max="135" width="7.796875" style="23" bestFit="1" customWidth="1"/>
    <col min="136" max="16384" width="9.06640625" style="1"/>
  </cols>
  <sheetData>
    <row r="1" spans="1:131" ht="23" customHeight="1" x14ac:dyDescent="0.4">
      <c r="A1" s="72" t="s">
        <v>41</v>
      </c>
      <c r="B1" s="73"/>
      <c r="C1" s="3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2" t="s">
        <v>50</v>
      </c>
      <c r="M1" s="72" t="s">
        <v>51</v>
      </c>
      <c r="N1" s="73"/>
      <c r="O1" s="5" t="s">
        <v>42</v>
      </c>
      <c r="P1" s="6" t="s">
        <v>43</v>
      </c>
      <c r="Q1" s="6" t="s">
        <v>44</v>
      </c>
      <c r="R1" s="6" t="s">
        <v>45</v>
      </c>
      <c r="S1" s="6" t="s">
        <v>46</v>
      </c>
      <c r="T1" s="6" t="s">
        <v>47</v>
      </c>
      <c r="U1" s="6" t="s">
        <v>48</v>
      </c>
      <c r="V1" s="6" t="s">
        <v>49</v>
      </c>
      <c r="W1" s="7" t="s">
        <v>50</v>
      </c>
      <c r="Y1" s="68" t="s">
        <v>52</v>
      </c>
      <c r="Z1" s="68"/>
      <c r="AA1" s="1" t="s">
        <v>42</v>
      </c>
      <c r="AB1" s="1" t="s">
        <v>43</v>
      </c>
      <c r="AC1" s="1" t="s">
        <v>44</v>
      </c>
      <c r="AD1" s="1" t="s">
        <v>45</v>
      </c>
      <c r="AE1" s="1" t="s">
        <v>46</v>
      </c>
      <c r="AF1" s="1" t="s">
        <v>47</v>
      </c>
      <c r="AG1" s="1" t="s">
        <v>48</v>
      </c>
      <c r="AH1" s="1" t="s">
        <v>49</v>
      </c>
      <c r="AI1" s="1" t="s">
        <v>50</v>
      </c>
      <c r="AL1" s="77" t="s">
        <v>38</v>
      </c>
      <c r="AM1" s="78"/>
      <c r="AN1" s="3" t="s">
        <v>42</v>
      </c>
      <c r="AO1" s="4" t="s">
        <v>43</v>
      </c>
      <c r="AP1" s="4" t="s">
        <v>44</v>
      </c>
      <c r="AQ1" s="4" t="s">
        <v>45</v>
      </c>
      <c r="AR1" s="4" t="s">
        <v>46</v>
      </c>
      <c r="AS1" s="4" t="s">
        <v>47</v>
      </c>
      <c r="AT1" s="4" t="s">
        <v>48</v>
      </c>
      <c r="AU1" s="4" t="s">
        <v>49</v>
      </c>
      <c r="AV1" s="2" t="s">
        <v>50</v>
      </c>
      <c r="AX1" s="72" t="s">
        <v>53</v>
      </c>
      <c r="AY1" s="73"/>
      <c r="BA1" s="70" t="s">
        <v>54</v>
      </c>
      <c r="BC1" s="72" t="s">
        <v>55</v>
      </c>
      <c r="BD1" s="76"/>
      <c r="BE1" s="76"/>
      <c r="BF1" s="76"/>
      <c r="BG1" s="76"/>
      <c r="BH1" s="76"/>
      <c r="BI1" s="76"/>
      <c r="BJ1" s="76"/>
      <c r="BK1" s="76"/>
      <c r="BL1" s="76"/>
      <c r="BM1" s="76"/>
      <c r="BN1" s="76"/>
      <c r="BO1" s="76"/>
      <c r="BP1" s="73"/>
      <c r="BR1" s="72" t="s">
        <v>56</v>
      </c>
      <c r="BS1" s="76"/>
      <c r="BT1" s="76"/>
      <c r="BU1" s="76"/>
      <c r="BV1" s="76"/>
      <c r="BW1" s="76"/>
      <c r="BX1" s="76"/>
      <c r="BY1" s="76"/>
      <c r="BZ1" s="76"/>
      <c r="CA1" s="76"/>
      <c r="CB1" s="76"/>
      <c r="CC1" s="76"/>
      <c r="CD1" s="76"/>
      <c r="CE1" s="73"/>
      <c r="CH1" s="70" t="s">
        <v>57</v>
      </c>
      <c r="CS1" s="68" t="s">
        <v>60</v>
      </c>
      <c r="CU1" s="72" t="s">
        <v>61</v>
      </c>
      <c r="CV1" s="73"/>
      <c r="CW1" s="4" t="s">
        <v>62</v>
      </c>
      <c r="CX1" s="4" t="s">
        <v>63</v>
      </c>
      <c r="CY1" s="4" t="s">
        <v>64</v>
      </c>
      <c r="CZ1" s="4" t="s">
        <v>65</v>
      </c>
      <c r="DA1" s="2" t="s">
        <v>66</v>
      </c>
      <c r="DC1" s="74" t="s">
        <v>110</v>
      </c>
      <c r="DD1" s="75"/>
      <c r="DE1" s="4" t="s">
        <v>62</v>
      </c>
      <c r="DF1" s="4" t="s">
        <v>63</v>
      </c>
      <c r="DG1" s="4" t="s">
        <v>64</v>
      </c>
      <c r="DH1" s="4" t="s">
        <v>65</v>
      </c>
      <c r="DI1" s="2" t="s">
        <v>66</v>
      </c>
      <c r="DK1" s="1" t="s">
        <v>67</v>
      </c>
      <c r="DL1" s="67" t="s">
        <v>105</v>
      </c>
      <c r="DM1" s="67" t="s">
        <v>106</v>
      </c>
      <c r="DN1" s="67" t="s">
        <v>107</v>
      </c>
      <c r="DO1" s="67" t="s">
        <v>108</v>
      </c>
      <c r="DP1" s="67" t="s">
        <v>109</v>
      </c>
      <c r="DR1" s="79" t="s">
        <v>113</v>
      </c>
      <c r="DS1" s="1" t="s">
        <v>114</v>
      </c>
      <c r="DT1" s="1" t="s">
        <v>115</v>
      </c>
      <c r="DU1" s="79" t="s">
        <v>111</v>
      </c>
      <c r="DV1" s="79" t="s">
        <v>112</v>
      </c>
    </row>
    <row r="2" spans="1:131" ht="23" customHeight="1" x14ac:dyDescent="0.4">
      <c r="A2" s="3" t="s">
        <v>68</v>
      </c>
      <c r="B2" s="7" t="s">
        <v>69</v>
      </c>
      <c r="C2" s="3" t="s">
        <v>70</v>
      </c>
      <c r="D2" s="4" t="s">
        <v>19</v>
      </c>
      <c r="E2" s="4" t="s">
        <v>19</v>
      </c>
      <c r="F2" s="4" t="s">
        <v>21</v>
      </c>
      <c r="G2" s="4" t="s">
        <v>23</v>
      </c>
      <c r="H2" s="4" t="s">
        <v>25</v>
      </c>
      <c r="I2" s="4" t="s">
        <v>27</v>
      </c>
      <c r="J2" s="4" t="s">
        <v>29</v>
      </c>
      <c r="K2" s="2" t="s">
        <v>31</v>
      </c>
      <c r="M2" s="3" t="s">
        <v>68</v>
      </c>
      <c r="N2" s="7" t="s">
        <v>69</v>
      </c>
      <c r="O2" s="3" t="s">
        <v>70</v>
      </c>
      <c r="P2" s="4" t="s">
        <v>19</v>
      </c>
      <c r="Q2" s="4" t="s">
        <v>19</v>
      </c>
      <c r="R2" s="4" t="s">
        <v>21</v>
      </c>
      <c r="S2" s="4" t="s">
        <v>23</v>
      </c>
      <c r="T2" s="4" t="s">
        <v>25</v>
      </c>
      <c r="U2" s="4" t="s">
        <v>27</v>
      </c>
      <c r="V2" s="4" t="s">
        <v>29</v>
      </c>
      <c r="W2" s="2" t="s">
        <v>31</v>
      </c>
      <c r="Y2" s="1" t="s">
        <v>68</v>
      </c>
      <c r="Z2" s="1" t="s">
        <v>69</v>
      </c>
      <c r="AA2" s="1" t="s">
        <v>70</v>
      </c>
      <c r="AB2" s="1" t="s">
        <v>19</v>
      </c>
      <c r="AC2" s="1" t="s">
        <v>19</v>
      </c>
      <c r="AD2" s="1" t="s">
        <v>21</v>
      </c>
      <c r="AE2" s="1" t="s">
        <v>23</v>
      </c>
      <c r="AF2" s="1" t="s">
        <v>25</v>
      </c>
      <c r="AG2" s="1" t="s">
        <v>27</v>
      </c>
      <c r="AH2" s="1" t="s">
        <v>29</v>
      </c>
      <c r="AI2" s="1" t="s">
        <v>31</v>
      </c>
      <c r="AJ2" s="1" t="s">
        <v>71</v>
      </c>
      <c r="AL2" s="3" t="s">
        <v>68</v>
      </c>
      <c r="AM2" s="7" t="s">
        <v>69</v>
      </c>
      <c r="AN2" s="3" t="s">
        <v>70</v>
      </c>
      <c r="AO2" s="4" t="s">
        <v>19</v>
      </c>
      <c r="AP2" s="4" t="s">
        <v>19</v>
      </c>
      <c r="AQ2" s="4" t="s">
        <v>21</v>
      </c>
      <c r="AR2" s="4" t="s">
        <v>23</v>
      </c>
      <c r="AS2" s="4" t="s">
        <v>25</v>
      </c>
      <c r="AT2" s="4" t="s">
        <v>27</v>
      </c>
      <c r="AU2" s="4" t="s">
        <v>29</v>
      </c>
      <c r="AV2" s="2" t="s">
        <v>31</v>
      </c>
      <c r="AX2" s="3" t="s">
        <v>17</v>
      </c>
      <c r="AY2" s="2" t="s">
        <v>39</v>
      </c>
      <c r="BA2" s="71"/>
      <c r="BC2" s="3"/>
      <c r="BD2" s="4" t="s">
        <v>15</v>
      </c>
      <c r="BE2" s="4" t="s">
        <v>16</v>
      </c>
      <c r="BF2" s="4" t="s">
        <v>2</v>
      </c>
      <c r="BG2" s="4" t="s">
        <v>4</v>
      </c>
      <c r="BH2" s="4" t="s">
        <v>5</v>
      </c>
      <c r="BI2" s="4" t="s">
        <v>6</v>
      </c>
      <c r="BJ2" s="4" t="s">
        <v>7</v>
      </c>
      <c r="BK2" s="4" t="s">
        <v>8</v>
      </c>
      <c r="BL2" s="4" t="s">
        <v>9</v>
      </c>
      <c r="BM2" s="4" t="s">
        <v>10</v>
      </c>
      <c r="BN2" s="4" t="s">
        <v>11</v>
      </c>
      <c r="BO2" s="4" t="s">
        <v>12</v>
      </c>
      <c r="BP2" s="2" t="s">
        <v>13</v>
      </c>
      <c r="BR2" s="3" t="s">
        <v>14</v>
      </c>
      <c r="BS2" s="10">
        <f t="shared" ref="BS2:CE2" si="0">SUM(BD3:BD15)</f>
        <v>3.607499999999999</v>
      </c>
      <c r="BT2" s="10">
        <f t="shared" si="0"/>
        <v>5.0537499999999991</v>
      </c>
      <c r="BU2" s="10">
        <f t="shared" si="0"/>
        <v>4.5716666666666654</v>
      </c>
      <c r="BV2" s="10">
        <f t="shared" si="0"/>
        <v>5.6099999999999994</v>
      </c>
      <c r="BW2" s="10">
        <f t="shared" si="0"/>
        <v>5.8695833333333329</v>
      </c>
      <c r="BX2" s="10">
        <f t="shared" si="0"/>
        <v>6.6112499999999992</v>
      </c>
      <c r="BY2" s="10">
        <f t="shared" si="0"/>
        <v>6.9450000000000003</v>
      </c>
      <c r="BZ2" s="10">
        <f t="shared" si="0"/>
        <v>7.4641666666666673</v>
      </c>
      <c r="CA2" s="10">
        <f t="shared" si="0"/>
        <v>7.94625</v>
      </c>
      <c r="CB2" s="10">
        <f t="shared" si="0"/>
        <v>4.0895833333333318</v>
      </c>
      <c r="CC2" s="10">
        <f t="shared" si="0"/>
        <v>8.4283333333333346</v>
      </c>
      <c r="CD2" s="10">
        <f t="shared" si="0"/>
        <v>8.9104166666666682</v>
      </c>
      <c r="CE2" s="11">
        <f t="shared" si="0"/>
        <v>9.3925000000000001</v>
      </c>
      <c r="CF2" s="3" t="s">
        <v>71</v>
      </c>
      <c r="CH2" s="71"/>
      <c r="CI2" s="12"/>
      <c r="CJ2" s="3" t="s">
        <v>72</v>
      </c>
      <c r="CL2" s="3" t="s">
        <v>68</v>
      </c>
      <c r="CM2" s="65" t="s">
        <v>69</v>
      </c>
      <c r="CN2" s="66" t="s">
        <v>58</v>
      </c>
      <c r="CO2" s="65" t="s">
        <v>59</v>
      </c>
      <c r="CQ2" s="1" t="s">
        <v>42</v>
      </c>
      <c r="CR2" s="1" t="s">
        <v>70</v>
      </c>
      <c r="CS2" s="68"/>
      <c r="CU2" s="3" t="s">
        <v>42</v>
      </c>
      <c r="CV2" s="3" t="s">
        <v>70</v>
      </c>
      <c r="CW2" s="4" t="s">
        <v>33</v>
      </c>
      <c r="CX2" s="4" t="s">
        <v>34</v>
      </c>
      <c r="CY2" s="4" t="s">
        <v>35</v>
      </c>
      <c r="CZ2" s="4" t="s">
        <v>36</v>
      </c>
      <c r="DA2" s="2" t="s">
        <v>37</v>
      </c>
      <c r="DC2" s="3" t="s">
        <v>42</v>
      </c>
      <c r="DD2" s="3" t="s">
        <v>70</v>
      </c>
      <c r="DE2" s="4" t="s">
        <v>33</v>
      </c>
      <c r="DF2" s="4" t="s">
        <v>34</v>
      </c>
      <c r="DG2" s="4" t="s">
        <v>35</v>
      </c>
      <c r="DH2" s="4" t="s">
        <v>36</v>
      </c>
      <c r="DI2" s="2" t="s">
        <v>37</v>
      </c>
      <c r="DK2" s="1" t="s">
        <v>97</v>
      </c>
      <c r="DL2" s="15" cm="1">
        <f t="array" ref="DL2:DP2">DE3:DI3</f>
        <v>0.61214738718442063</v>
      </c>
      <c r="DM2" s="15">
        <v>0.39998259817700887</v>
      </c>
      <c r="DN2" s="15">
        <v>0.3</v>
      </c>
      <c r="DO2" s="15">
        <v>0.53643333224641965</v>
      </c>
      <c r="DP2" s="15">
        <v>0.63306472447964335</v>
      </c>
      <c r="DR2" s="23" t="s">
        <v>15</v>
      </c>
      <c r="DS2" s="23">
        <v>0.27049161455744336</v>
      </c>
      <c r="DT2" s="23">
        <v>9.5464743589743592E-2</v>
      </c>
      <c r="DU2" s="23">
        <v>0.22499513706472454</v>
      </c>
      <c r="DV2" s="23">
        <v>0.51591213487787924</v>
      </c>
    </row>
    <row r="3" spans="1:131" ht="23" customHeight="1" x14ac:dyDescent="0.4">
      <c r="A3" s="70" t="s">
        <v>62</v>
      </c>
      <c r="B3" s="5" t="s">
        <v>73</v>
      </c>
      <c r="C3" s="14" t="s">
        <v>0</v>
      </c>
      <c r="D3" s="1">
        <v>0.2</v>
      </c>
      <c r="E3" s="1">
        <v>0.5</v>
      </c>
      <c r="F3" s="1">
        <v>0.9</v>
      </c>
      <c r="G3" s="1">
        <v>0.9</v>
      </c>
      <c r="H3" s="1">
        <v>0.5</v>
      </c>
      <c r="I3" s="1">
        <v>2.2499999999999999E-2</v>
      </c>
      <c r="J3" s="1">
        <v>0.75</v>
      </c>
      <c r="K3" s="14">
        <v>1.2500000000000001E-2</v>
      </c>
      <c r="M3" s="70" t="s">
        <v>62</v>
      </c>
      <c r="N3" s="5" t="s">
        <v>73</v>
      </c>
      <c r="O3" s="13" t="s">
        <v>0</v>
      </c>
      <c r="P3" s="16">
        <f>D3</f>
        <v>0.2</v>
      </c>
      <c r="Q3" s="17">
        <f t="shared" ref="Q3:W11" si="1">E3</f>
        <v>0.5</v>
      </c>
      <c r="R3" s="17">
        <f t="shared" si="1"/>
        <v>0.9</v>
      </c>
      <c r="S3" s="17">
        <f t="shared" si="1"/>
        <v>0.9</v>
      </c>
      <c r="T3" s="17">
        <f t="shared" si="1"/>
        <v>0.5</v>
      </c>
      <c r="U3" s="17">
        <f t="shared" si="1"/>
        <v>2.2499999999999999E-2</v>
      </c>
      <c r="V3" s="17">
        <f t="shared" si="1"/>
        <v>0.75</v>
      </c>
      <c r="W3" s="18">
        <f t="shared" si="1"/>
        <v>1.2500000000000001E-2</v>
      </c>
      <c r="Y3" s="68" t="s">
        <v>62</v>
      </c>
      <c r="Z3" s="1" t="s">
        <v>73</v>
      </c>
      <c r="AA3" s="1" t="s">
        <v>0</v>
      </c>
      <c r="AB3" s="15" cm="1">
        <f t="array" ref="AB3:AI3">P3:W3/SUM(P3:W3)</f>
        <v>5.2840158520475564E-2</v>
      </c>
      <c r="AC3" s="15">
        <v>0.13210039630118889</v>
      </c>
      <c r="AD3" s="15">
        <v>0.23778071334214002</v>
      </c>
      <c r="AE3" s="15">
        <v>0.23778071334214002</v>
      </c>
      <c r="AF3" s="15">
        <v>0.13210039630118889</v>
      </c>
      <c r="AG3" s="15">
        <v>5.9445178335535004E-3</v>
      </c>
      <c r="AH3" s="15">
        <v>0.19815059445178335</v>
      </c>
      <c r="AI3" s="15">
        <v>3.3025099075297227E-3</v>
      </c>
      <c r="AJ3" s="15">
        <f>SUM(AB3:AI3)</f>
        <v>1</v>
      </c>
      <c r="AK3" s="19"/>
      <c r="AL3" s="70" t="s">
        <v>62</v>
      </c>
      <c r="AM3" s="5" t="s">
        <v>73</v>
      </c>
      <c r="AN3" s="13" t="s">
        <v>0</v>
      </c>
      <c r="AO3" s="20">
        <f t="shared" ref="AO3" si="2">-1/LN(8)*AB3*LN(AB3)</f>
        <v>7.4719883665316941E-2</v>
      </c>
      <c r="AP3" s="21">
        <f t="shared" ref="AP3" si="3">-1/LN(8)*AC3*LN(AC3)</f>
        <v>0.12859063409119362</v>
      </c>
      <c r="AQ3" s="21">
        <f t="shared" ref="AQ3" si="4">-1/LN(8)*AD3*LN(AD3)</f>
        <v>0.16425070491329383</v>
      </c>
      <c r="AR3" s="21">
        <f t="shared" ref="AR3" si="5">-1/LN(8)*AE3*LN(AE3)</f>
        <v>0.16425070491329383</v>
      </c>
      <c r="AS3" s="21">
        <f t="shared" ref="AS3" si="6">-1/LN(8)*AF3*LN(AF3)</f>
        <v>0.12859063409119362</v>
      </c>
      <c r="AT3" s="21">
        <f t="shared" ref="AT3" si="7">-1/LN(8)*AG3*LN(AG3)</f>
        <v>1.4651699779148123E-2</v>
      </c>
      <c r="AU3" s="21">
        <f t="shared" ref="AU3" si="8">-1/LN(8)*AH3*LN(AH3)</f>
        <v>0.15424906205349082</v>
      </c>
      <c r="AV3" s="22">
        <f t="shared" ref="AV3" si="9">-1/LN(8)*AI3*LN(AI3)</f>
        <v>9.0733392724552716E-3</v>
      </c>
      <c r="AW3" s="23"/>
      <c r="AX3" s="24">
        <f>SUM(AO3:AV3)</f>
        <v>0.83837666277938616</v>
      </c>
      <c r="AY3" s="25">
        <f>1-AX3</f>
        <v>0.16162333722061384</v>
      </c>
      <c r="AZ3" s="23"/>
      <c r="BA3" s="12" cm="1">
        <f t="array" ref="BA3:BA15">AY3:AY15/SUM(AY3:AY15)</f>
        <v>0.27049161455744336</v>
      </c>
      <c r="BC3" s="13" t="s">
        <v>15</v>
      </c>
      <c r="BD3" s="26">
        <v>0.5</v>
      </c>
      <c r="BE3" s="26">
        <v>0.61124999999999996</v>
      </c>
      <c r="BF3" s="26">
        <v>0.57416666666666671</v>
      </c>
      <c r="BG3" s="26">
        <v>0.64833333333333332</v>
      </c>
      <c r="BH3" s="26">
        <v>0.68541666666666667</v>
      </c>
      <c r="BI3" s="26">
        <v>0.72250000000000003</v>
      </c>
      <c r="BJ3" s="26">
        <v>0.75958333333333328</v>
      </c>
      <c r="BK3" s="26">
        <v>0.79666666666666663</v>
      </c>
      <c r="BL3" s="26">
        <v>0.83374999999999999</v>
      </c>
      <c r="BM3" s="26">
        <v>0.53708333333333336</v>
      </c>
      <c r="BN3" s="26">
        <v>0.87083333333333335</v>
      </c>
      <c r="BO3" s="26">
        <v>0.90791666666666671</v>
      </c>
      <c r="BP3" s="27">
        <v>0.94500000000000006</v>
      </c>
      <c r="BQ3" s="26"/>
      <c r="BR3" s="28">
        <f>SUM(BD3:BP3)</f>
        <v>9.3925000000000018</v>
      </c>
      <c r="BS3" s="29" cm="1">
        <f t="array" ref="BS3:CE3">(BR3-BS2:CE2)/26+0.5</f>
        <v>0.72250000000000014</v>
      </c>
      <c r="BT3" s="29">
        <v>0.66687500000000011</v>
      </c>
      <c r="BU3" s="29">
        <v>0.68541666666666679</v>
      </c>
      <c r="BV3" s="29">
        <v>0.64548076923076936</v>
      </c>
      <c r="BW3" s="29">
        <v>0.63549679487179489</v>
      </c>
      <c r="BX3" s="29">
        <v>0.60697115384615397</v>
      </c>
      <c r="BY3" s="29">
        <v>0.59413461538461543</v>
      </c>
      <c r="BZ3" s="29">
        <v>0.57416666666666671</v>
      </c>
      <c r="CA3" s="29">
        <v>0.55562500000000004</v>
      </c>
      <c r="CB3" s="29">
        <v>0.70395833333333346</v>
      </c>
      <c r="CC3" s="29">
        <v>0.53708333333333336</v>
      </c>
      <c r="CD3" s="29">
        <v>0.51854166666666668</v>
      </c>
      <c r="CE3" s="30">
        <v>0.50000000000000011</v>
      </c>
      <c r="CF3" s="31">
        <f>SUM(BS3:CE3)</f>
        <v>7.9462500000000009</v>
      </c>
      <c r="CH3" s="32">
        <f>2*CF3/13/12+1/13-1/12</f>
        <v>9.5464743589743592E-2</v>
      </c>
      <c r="CI3" s="12"/>
      <c r="CJ3" s="32">
        <f>SQRT(BA3*CH3)</f>
        <v>0.160693536356949</v>
      </c>
      <c r="CK3" s="33"/>
      <c r="CL3" s="70" t="s">
        <v>62</v>
      </c>
      <c r="CM3" s="8" t="s">
        <v>0</v>
      </c>
      <c r="CN3" s="32" cm="1">
        <f t="array" ref="CN3:CN15">CJ3:CJ15/SUM(CJ3:CJ15)</f>
        <v>0.22499513706472454</v>
      </c>
      <c r="CO3" s="22" cm="1">
        <f t="array" ref="CO3:CO6">CN3:CN6/SUM(CN3:CN6)</f>
        <v>0.51591213487787924</v>
      </c>
      <c r="CQ3" s="1" t="s">
        <v>43</v>
      </c>
      <c r="CR3" s="1" t="s">
        <v>19</v>
      </c>
      <c r="CS3" s="29" cm="1">
        <f t="array" ref="CS3:CS10">MMULT(TRANSPOSE(P3:W15),_xlfn.ANCHORARRAY(CN3))</f>
        <v>0.51938032119215372</v>
      </c>
      <c r="CU3" s="13" t="s">
        <v>43</v>
      </c>
      <c r="CV3" s="14" t="s">
        <v>19</v>
      </c>
      <c r="CW3" s="15" cm="1">
        <f t="array" ref="CW3:CW10">MMULT(TRANSPOSE(P3:W6),_xlfn.ANCHORARRAY(CO3))</f>
        <v>0.57090672321389768</v>
      </c>
      <c r="CX3" s="15" cm="1">
        <f t="array" ref="CX3:CX10">MMULT(TRANSPOSE(P7:W9),_xlfn.ANCHORARRAY(CO7))</f>
        <v>0.92881029138779603</v>
      </c>
      <c r="CY3" s="15" cm="1">
        <f t="array" ref="CY3:CY10">MMULT(TRANSPOSE(P10:W11),_xlfn.ANCHORARRAY(CO10))</f>
        <v>0.35437648359767443</v>
      </c>
      <c r="CZ3" s="15" cm="1">
        <f t="array" ref="CZ3:CZ10">MMULT(TRANSPOSE(P12:W13),_xlfn.ANCHORARRAY(CO12))</f>
        <v>0.35860964552095648</v>
      </c>
      <c r="DA3" s="34" cm="1">
        <f t="array" ref="DA3:DA10">MMULT(TRANSPOSE(P14:W15),_xlfn.ANCHORARRAY(CO14))</f>
        <v>0.53037883892286919</v>
      </c>
      <c r="DC3" s="13" t="s">
        <v>43</v>
      </c>
      <c r="DD3" s="13" t="s">
        <v>19</v>
      </c>
      <c r="DE3" s="15" cm="1">
        <f t="array" ref="DE3:DE10">0.3+0.6*(_xlfn.ANCHORARRAY(CW3)-MIN(_xlfn.ANCHORARRAY(CW3)))/(MAX(_xlfn.ANCHORARRAY(CW3))-MIN(_xlfn.ANCHORARRAY(CW3)))</f>
        <v>0.61214738718442063</v>
      </c>
      <c r="DF3" s="15" cm="1">
        <f t="array" ref="DF3:DF10">0.3+0.6*(_xlfn.ANCHORARRAY(CX3)-MIN(_xlfn.ANCHORARRAY(CX3)))/(MAX(_xlfn.ANCHORARRAY(CX3))-MIN(_xlfn.ANCHORARRAY(CX3)))</f>
        <v>0.39998259817700887</v>
      </c>
      <c r="DG3" s="15" cm="1">
        <f t="array" ref="DG3:DG10">0.3+0.6*(_xlfn.ANCHORARRAY(CY3)-MIN(_xlfn.ANCHORARRAY(CY3)))/(MAX(_xlfn.ANCHORARRAY(CY3))-MIN(_xlfn.ANCHORARRAY(CY3)))</f>
        <v>0.3</v>
      </c>
      <c r="DH3" s="15" cm="1">
        <f t="array" ref="DH3:DH10">0.3+0.6*(_xlfn.ANCHORARRAY(CZ3)-MIN(_xlfn.ANCHORARRAY(CZ3)))/(MAX(_xlfn.ANCHORARRAY(CZ3))-MIN(_xlfn.ANCHORARRAY(CZ3)))</f>
        <v>0.53643333224641965</v>
      </c>
      <c r="DI3" s="34" cm="1">
        <f t="array" ref="DI3:DI10">0.3+0.6*(_xlfn.ANCHORARRAY(DA3)-MIN(_xlfn.ANCHORARRAY(DA3)))/(MAX(_xlfn.ANCHORARRAY(DA3))-MIN(_xlfn.ANCHORARRAY(DA3)))</f>
        <v>0.63306472447964335</v>
      </c>
      <c r="DL3" s="67" t="s">
        <v>105</v>
      </c>
      <c r="DM3" s="67" t="s">
        <v>106</v>
      </c>
      <c r="DN3" s="67" t="s">
        <v>107</v>
      </c>
      <c r="DO3" s="67" t="s">
        <v>108</v>
      </c>
      <c r="DP3" s="67" t="s">
        <v>109</v>
      </c>
      <c r="DR3" s="23" t="s">
        <v>16</v>
      </c>
      <c r="DS3" s="23">
        <v>0.14642996774968053</v>
      </c>
      <c r="DT3" s="23">
        <v>8.6193910256410253E-2</v>
      </c>
      <c r="DU3" s="23">
        <v>0.15729973764506167</v>
      </c>
      <c r="DV3" s="23">
        <v>0.36068709983206776</v>
      </c>
    </row>
    <row r="4" spans="1:131" ht="23" customHeight="1" x14ac:dyDescent="0.4">
      <c r="A4" s="69"/>
      <c r="B4" s="13" t="s">
        <v>74</v>
      </c>
      <c r="C4" s="14" t="s">
        <v>1</v>
      </c>
      <c r="D4" s="1">
        <v>1</v>
      </c>
      <c r="E4" s="1">
        <v>0.6</v>
      </c>
      <c r="F4" s="1">
        <v>1</v>
      </c>
      <c r="G4" s="1">
        <v>1</v>
      </c>
      <c r="H4" s="1">
        <v>0.6</v>
      </c>
      <c r="I4" s="1">
        <v>0.2</v>
      </c>
      <c r="J4" s="1">
        <v>0.2</v>
      </c>
      <c r="K4" s="14">
        <v>0.2</v>
      </c>
      <c r="M4" s="69"/>
      <c r="N4" s="13" t="s">
        <v>74</v>
      </c>
      <c r="O4" s="13" t="s">
        <v>1</v>
      </c>
      <c r="P4" s="35">
        <f t="shared" ref="P4:P11" si="10">D4</f>
        <v>1</v>
      </c>
      <c r="Q4" s="19">
        <f t="shared" si="1"/>
        <v>0.6</v>
      </c>
      <c r="R4" s="19">
        <f t="shared" si="1"/>
        <v>1</v>
      </c>
      <c r="S4" s="19">
        <f t="shared" si="1"/>
        <v>1</v>
      </c>
      <c r="T4" s="19">
        <f t="shared" si="1"/>
        <v>0.6</v>
      </c>
      <c r="U4" s="19">
        <f t="shared" si="1"/>
        <v>0.2</v>
      </c>
      <c r="V4" s="19">
        <f t="shared" si="1"/>
        <v>0.2</v>
      </c>
      <c r="W4" s="36">
        <f t="shared" si="1"/>
        <v>0.2</v>
      </c>
      <c r="Y4" s="68"/>
      <c r="Z4" s="1" t="s">
        <v>74</v>
      </c>
      <c r="AA4" s="1" t="s">
        <v>1</v>
      </c>
      <c r="AB4" s="15" cm="1">
        <f t="array" ref="AB4:AI4">P4:W4/SUM(P4:W4)</f>
        <v>0.20833333333333331</v>
      </c>
      <c r="AC4" s="15">
        <v>0.12499999999999997</v>
      </c>
      <c r="AD4" s="15">
        <v>0.20833333333333331</v>
      </c>
      <c r="AE4" s="15">
        <v>0.20833333333333331</v>
      </c>
      <c r="AF4" s="15">
        <v>0.12499999999999997</v>
      </c>
      <c r="AG4" s="15">
        <v>4.1666666666666664E-2</v>
      </c>
      <c r="AH4" s="15">
        <v>4.1666666666666664E-2</v>
      </c>
      <c r="AI4" s="15">
        <v>4.1666666666666664E-2</v>
      </c>
      <c r="AJ4" s="15">
        <f t="shared" ref="AJ4:AJ15" si="11">SUM(AB4:AI4)</f>
        <v>0.99999999999999967</v>
      </c>
      <c r="AK4" s="19"/>
      <c r="AL4" s="69"/>
      <c r="AM4" s="13" t="s">
        <v>74</v>
      </c>
      <c r="AN4" s="13" t="s">
        <v>1</v>
      </c>
      <c r="AO4" s="37">
        <f t="shared" ref="AO4:AO15" si="12">-1/LN(8)*AB4*LN(AB4)</f>
        <v>0.15715516707179122</v>
      </c>
      <c r="AP4" s="23">
        <f t="shared" ref="AP4:AP15" si="13">-1/LN(8)*AC4*LN(AC4)</f>
        <v>0.125</v>
      </c>
      <c r="AQ4" s="23">
        <f t="shared" ref="AQ4:AQ15" si="14">-1/LN(8)*AD4*LN(AD4)</f>
        <v>0.15715516707179122</v>
      </c>
      <c r="AR4" s="23">
        <f t="shared" ref="AR4:AR15" si="15">-1/LN(8)*AE4*LN(AE4)</f>
        <v>0.15715516707179122</v>
      </c>
      <c r="AS4" s="23">
        <f t="shared" ref="AS4:AS15" si="16">-1/LN(8)*AF4*LN(AF4)</f>
        <v>0.125</v>
      </c>
      <c r="AT4" s="23">
        <f t="shared" ref="AT4:AT15" si="17">-1/LN(8)*AG4*LN(AG4)</f>
        <v>6.368003473223828E-2</v>
      </c>
      <c r="AU4" s="23">
        <f t="shared" ref="AU4:AU15" si="18">-1/LN(8)*AH4*LN(AH4)</f>
        <v>6.368003473223828E-2</v>
      </c>
      <c r="AV4" s="25">
        <f t="shared" ref="AV4:AV15" si="19">-1/LN(8)*AI4*LN(AI4)</f>
        <v>6.368003473223828E-2</v>
      </c>
      <c r="AW4" s="23"/>
      <c r="AX4" s="24">
        <f t="shared" ref="AX4:AX15" si="20">SUM(AO4:AV4)</f>
        <v>0.91250560541208847</v>
      </c>
      <c r="AY4" s="25">
        <f t="shared" ref="AY4:AY15" si="21">1-AX4</f>
        <v>8.7494394587911528E-2</v>
      </c>
      <c r="AZ4" s="23"/>
      <c r="BA4" s="12">
        <v>0.14642996774968053</v>
      </c>
      <c r="BC4" s="13" t="s">
        <v>16</v>
      </c>
      <c r="BD4" s="26">
        <v>0.38874999999999998</v>
      </c>
      <c r="BE4" s="26">
        <v>0.5</v>
      </c>
      <c r="BF4" s="26">
        <v>0.46291666666666664</v>
      </c>
      <c r="BG4" s="26">
        <v>0.53708333333333336</v>
      </c>
      <c r="BH4" s="26">
        <v>0.57416666666666671</v>
      </c>
      <c r="BI4" s="26">
        <v>0.61124999999999996</v>
      </c>
      <c r="BJ4" s="26">
        <v>0.64833333333333332</v>
      </c>
      <c r="BK4" s="26">
        <v>0.68541666666666667</v>
      </c>
      <c r="BL4" s="26">
        <v>0.72250000000000003</v>
      </c>
      <c r="BM4" s="26">
        <v>0.42583333333333334</v>
      </c>
      <c r="BN4" s="26">
        <v>0.75958333333333328</v>
      </c>
      <c r="BO4" s="26">
        <v>0.79666666666666663</v>
      </c>
      <c r="BP4" s="27">
        <v>0.83374999999999999</v>
      </c>
      <c r="BQ4" s="26"/>
      <c r="BR4" s="28">
        <f t="shared" ref="BR4:BR15" si="22">SUM(BD4:BP4)</f>
        <v>7.9462500000000009</v>
      </c>
      <c r="BS4" s="29" cm="1">
        <f t="array" ref="BS4:CE4">(BR4-BS2:CE2)/26+0.5</f>
        <v>0.66687500000000011</v>
      </c>
      <c r="BT4" s="29">
        <v>0.61125000000000007</v>
      </c>
      <c r="BU4" s="29">
        <v>0.62979166666666675</v>
      </c>
      <c r="BV4" s="29">
        <v>0.58985576923076932</v>
      </c>
      <c r="BW4" s="29">
        <v>0.57987179487179497</v>
      </c>
      <c r="BX4" s="29">
        <v>0.55134615384615393</v>
      </c>
      <c r="BY4" s="29">
        <v>0.53850961538461539</v>
      </c>
      <c r="BZ4" s="29">
        <v>0.51854166666666668</v>
      </c>
      <c r="CA4" s="29">
        <v>0.5</v>
      </c>
      <c r="CB4" s="29">
        <v>0.64833333333333343</v>
      </c>
      <c r="CC4" s="29">
        <v>0.48145833333333332</v>
      </c>
      <c r="CD4" s="29">
        <v>0.46291666666666664</v>
      </c>
      <c r="CE4" s="30">
        <v>0.44437500000000002</v>
      </c>
      <c r="CF4" s="38">
        <f t="shared" ref="CF4:CF15" si="23">SUM(BS4:CE4)</f>
        <v>7.2231250000000005</v>
      </c>
      <c r="CH4" s="12">
        <f t="shared" ref="CH4:CH15" si="24">2*CF4/13/12+1/13-1/12</f>
        <v>8.6193910256410253E-2</v>
      </c>
      <c r="CI4" s="12"/>
      <c r="CJ4" s="12">
        <f t="shared" ref="CJ4:CJ15" si="25">SQRT(BA4*CH4)</f>
        <v>0.11234487749365794</v>
      </c>
      <c r="CK4" s="33"/>
      <c r="CL4" s="69"/>
      <c r="CM4" s="39" t="s">
        <v>1</v>
      </c>
      <c r="CN4" s="12">
        <v>0.15729973764506167</v>
      </c>
      <c r="CO4" s="25">
        <v>0.36068709983206776</v>
      </c>
      <c r="CQ4" s="1" t="s">
        <v>44</v>
      </c>
      <c r="CR4" s="1" t="s">
        <v>32</v>
      </c>
      <c r="CS4" s="29">
        <v>0.56323120909400315</v>
      </c>
      <c r="CU4" s="13" t="s">
        <v>44</v>
      </c>
      <c r="CV4" s="14" t="s">
        <v>32</v>
      </c>
      <c r="CW4" s="15">
        <v>0.57899142833155803</v>
      </c>
      <c r="CX4" s="15">
        <v>0.91830408112641071</v>
      </c>
      <c r="CY4" s="15">
        <v>0.53346245144472271</v>
      </c>
      <c r="CZ4" s="15">
        <v>0.4302648372401498</v>
      </c>
      <c r="DA4" s="34">
        <v>0.57963799376603065</v>
      </c>
      <c r="DC4" s="13" t="s">
        <v>44</v>
      </c>
      <c r="DD4" s="13" t="s">
        <v>32</v>
      </c>
      <c r="DE4" s="15">
        <v>0.61838571474730797</v>
      </c>
      <c r="DF4" s="15">
        <v>0.3</v>
      </c>
      <c r="DG4" s="15">
        <v>0.46686313377204136</v>
      </c>
      <c r="DH4" s="15">
        <v>0.65581519502647923</v>
      </c>
      <c r="DI4" s="34">
        <v>0.66486154178051105</v>
      </c>
      <c r="DK4" s="67" t="s">
        <v>98</v>
      </c>
      <c r="DL4" s="15" cm="1">
        <f t="array" ref="DL4:DP4">DE4:DI4</f>
        <v>0.61838571474730797</v>
      </c>
      <c r="DM4" s="15">
        <v>0.3</v>
      </c>
      <c r="DN4" s="15">
        <v>0.46686313377204136</v>
      </c>
      <c r="DO4" s="15">
        <v>0.65581519502647923</v>
      </c>
      <c r="DP4" s="15">
        <v>0.66486154178051105</v>
      </c>
      <c r="DR4" s="23" t="s">
        <v>2</v>
      </c>
      <c r="DS4" s="23">
        <v>2.0026780195001141E-3</v>
      </c>
      <c r="DT4" s="23">
        <v>8.9284188034188069E-2</v>
      </c>
      <c r="DU4" s="23">
        <v>1.8722660643948896E-2</v>
      </c>
      <c r="DV4" s="23">
        <v>4.2930918194178748E-2</v>
      </c>
    </row>
    <row r="5" spans="1:131" ht="23" customHeight="1" x14ac:dyDescent="0.4">
      <c r="A5" s="69"/>
      <c r="B5" s="13" t="s">
        <v>75</v>
      </c>
      <c r="C5" s="14" t="s">
        <v>3</v>
      </c>
      <c r="D5" s="1">
        <v>0.9</v>
      </c>
      <c r="E5" s="1">
        <v>0.9</v>
      </c>
      <c r="F5" s="1">
        <v>0.99</v>
      </c>
      <c r="G5" s="1">
        <v>0.99</v>
      </c>
      <c r="H5" s="1">
        <v>0.99</v>
      </c>
      <c r="I5" s="1">
        <v>0.8</v>
      </c>
      <c r="J5" s="1">
        <v>0.9</v>
      </c>
      <c r="K5" s="14">
        <v>0.99</v>
      </c>
      <c r="M5" s="69"/>
      <c r="N5" s="13" t="s">
        <v>75</v>
      </c>
      <c r="O5" s="13" t="s">
        <v>3</v>
      </c>
      <c r="P5" s="35">
        <f t="shared" si="10"/>
        <v>0.9</v>
      </c>
      <c r="Q5" s="19">
        <f t="shared" si="1"/>
        <v>0.9</v>
      </c>
      <c r="R5" s="19">
        <f t="shared" si="1"/>
        <v>0.99</v>
      </c>
      <c r="S5" s="19">
        <f t="shared" si="1"/>
        <v>0.99</v>
      </c>
      <c r="T5" s="19">
        <f t="shared" si="1"/>
        <v>0.99</v>
      </c>
      <c r="U5" s="19">
        <f t="shared" si="1"/>
        <v>0.8</v>
      </c>
      <c r="V5" s="19">
        <f t="shared" si="1"/>
        <v>0.9</v>
      </c>
      <c r="W5" s="36">
        <f t="shared" si="1"/>
        <v>0.99</v>
      </c>
      <c r="Y5" s="68"/>
      <c r="Z5" s="1" t="s">
        <v>75</v>
      </c>
      <c r="AA5" s="1" t="s">
        <v>3</v>
      </c>
      <c r="AB5" s="15" cm="1">
        <f t="array" ref="AB5:AI5">P5:W5/SUM(P5:W5)</f>
        <v>0.12064343163538872</v>
      </c>
      <c r="AC5" s="15">
        <v>0.12064343163538872</v>
      </c>
      <c r="AD5" s="15">
        <v>0.13270777479892759</v>
      </c>
      <c r="AE5" s="15">
        <v>0.13270777479892759</v>
      </c>
      <c r="AF5" s="15">
        <v>0.13270777479892759</v>
      </c>
      <c r="AG5" s="15">
        <v>0.10723860589812331</v>
      </c>
      <c r="AH5" s="15">
        <v>0.12064343163538872</v>
      </c>
      <c r="AI5" s="15">
        <v>0.13270777479892759</v>
      </c>
      <c r="AJ5" s="15">
        <f t="shared" si="11"/>
        <v>0.99999999999999978</v>
      </c>
      <c r="AK5" s="19"/>
      <c r="AL5" s="69"/>
      <c r="AM5" s="13" t="s">
        <v>75</v>
      </c>
      <c r="AN5" s="13" t="s">
        <v>3</v>
      </c>
      <c r="AO5" s="37">
        <f t="shared" si="12"/>
        <v>0.1227015572624221</v>
      </c>
      <c r="AP5" s="23">
        <f t="shared" si="13"/>
        <v>0.1227015572624221</v>
      </c>
      <c r="AQ5" s="23">
        <f t="shared" si="14"/>
        <v>0.12888911743404252</v>
      </c>
      <c r="AR5" s="23">
        <f t="shared" si="15"/>
        <v>0.12888911743404252</v>
      </c>
      <c r="AS5" s="23">
        <f t="shared" si="16"/>
        <v>0.12888911743404252</v>
      </c>
      <c r="AT5" s="23">
        <f t="shared" si="17"/>
        <v>0.11514222432056748</v>
      </c>
      <c r="AU5" s="23">
        <f t="shared" si="18"/>
        <v>0.1227015572624221</v>
      </c>
      <c r="AV5" s="25">
        <f t="shared" si="19"/>
        <v>0.12888911743404252</v>
      </c>
      <c r="AW5" s="23"/>
      <c r="AX5" s="24">
        <f t="shared" si="20"/>
        <v>0.99880336584400387</v>
      </c>
      <c r="AY5" s="25">
        <f t="shared" si="21"/>
        <v>1.1966341559961347E-3</v>
      </c>
      <c r="AZ5" s="23"/>
      <c r="BA5" s="12">
        <v>2.0026780195001141E-3</v>
      </c>
      <c r="BC5" s="13" t="s">
        <v>2</v>
      </c>
      <c r="BD5" s="26">
        <v>0.42583333333333334</v>
      </c>
      <c r="BE5" s="26">
        <v>0.53708333333333336</v>
      </c>
      <c r="BF5" s="26">
        <v>0.5</v>
      </c>
      <c r="BG5" s="26">
        <v>0.57416666666666671</v>
      </c>
      <c r="BH5" s="26">
        <v>0.61124999999999996</v>
      </c>
      <c r="BI5" s="26">
        <v>0.64833333333333332</v>
      </c>
      <c r="BJ5" s="26">
        <v>0.68541666666666667</v>
      </c>
      <c r="BK5" s="26">
        <v>0.72250000000000003</v>
      </c>
      <c r="BL5" s="26">
        <v>0.75958333333333328</v>
      </c>
      <c r="BM5" s="26">
        <v>0.46291666666666664</v>
      </c>
      <c r="BN5" s="26">
        <v>0.79666666666666663</v>
      </c>
      <c r="BO5" s="26">
        <v>0.83374999999999999</v>
      </c>
      <c r="BP5" s="27">
        <v>0.87083333333333335</v>
      </c>
      <c r="BQ5" s="26"/>
      <c r="BR5" s="28">
        <f t="shared" si="22"/>
        <v>8.4283333333333346</v>
      </c>
      <c r="BS5" s="29" cm="1">
        <f t="array" ref="BS5:CE5">(BR5-BS2:CE2)/26+0.5</f>
        <v>0.68541666666666679</v>
      </c>
      <c r="BT5" s="29">
        <v>0.62979166666666675</v>
      </c>
      <c r="BU5" s="29">
        <v>0.64833333333333343</v>
      </c>
      <c r="BV5" s="29">
        <v>0.608397435897436</v>
      </c>
      <c r="BW5" s="29">
        <v>0.59841346153846164</v>
      </c>
      <c r="BX5" s="29">
        <v>0.56988782051282061</v>
      </c>
      <c r="BY5" s="29">
        <v>0.55705128205128207</v>
      </c>
      <c r="BZ5" s="29">
        <v>0.53708333333333336</v>
      </c>
      <c r="CA5" s="29">
        <v>0.51854166666666668</v>
      </c>
      <c r="CB5" s="29">
        <v>0.66687500000000011</v>
      </c>
      <c r="CC5" s="29">
        <v>0.5</v>
      </c>
      <c r="CD5" s="29">
        <v>0.48145833333333332</v>
      </c>
      <c r="CE5" s="30">
        <v>0.4629166666666667</v>
      </c>
      <c r="CF5" s="38">
        <f t="shared" si="23"/>
        <v>7.4641666666666673</v>
      </c>
      <c r="CH5" s="12">
        <f t="shared" si="24"/>
        <v>8.9284188034188069E-2</v>
      </c>
      <c r="CI5" s="12"/>
      <c r="CJ5" s="12">
        <f t="shared" si="25"/>
        <v>1.3371891446799273E-2</v>
      </c>
      <c r="CK5" s="33"/>
      <c r="CL5" s="69"/>
      <c r="CM5" s="39" t="s">
        <v>3</v>
      </c>
      <c r="CN5" s="12">
        <v>1.8722660643948896E-2</v>
      </c>
      <c r="CO5" s="25">
        <v>4.2930918194178748E-2</v>
      </c>
      <c r="CQ5" s="1" t="s">
        <v>45</v>
      </c>
      <c r="CR5" s="1" t="s">
        <v>20</v>
      </c>
      <c r="CS5" s="29">
        <v>0.87008021106057387</v>
      </c>
      <c r="CU5" s="13" t="s">
        <v>45</v>
      </c>
      <c r="CV5" s="14" t="s">
        <v>20</v>
      </c>
      <c r="CW5" s="15">
        <v>0.94395598497547673</v>
      </c>
      <c r="CX5" s="15">
        <v>0.98135231423664748</v>
      </c>
      <c r="CY5" s="15">
        <v>0.99832687742776383</v>
      </c>
      <c r="CZ5" s="15">
        <v>0.359688837563159</v>
      </c>
      <c r="DA5" s="34">
        <v>0.94391098415428443</v>
      </c>
      <c r="DC5" s="13" t="s">
        <v>45</v>
      </c>
      <c r="DD5" s="13" t="s">
        <v>20</v>
      </c>
      <c r="DE5" s="15">
        <v>0.89999999999999991</v>
      </c>
      <c r="DF5" s="15">
        <v>0.89999999999999991</v>
      </c>
      <c r="DG5" s="15">
        <v>0.89999999999999991</v>
      </c>
      <c r="DH5" s="15">
        <v>0.53823133115207389</v>
      </c>
      <c r="DI5" s="34">
        <v>0.89999999999999991</v>
      </c>
      <c r="DL5" s="67" t="s">
        <v>105</v>
      </c>
      <c r="DM5" s="67" t="s">
        <v>106</v>
      </c>
      <c r="DN5" s="67" t="s">
        <v>107</v>
      </c>
      <c r="DO5" s="67" t="s">
        <v>108</v>
      </c>
      <c r="DP5" s="67" t="s">
        <v>109</v>
      </c>
      <c r="DR5" s="23" t="s">
        <v>4</v>
      </c>
      <c r="DS5" s="23">
        <v>7.6914822398784239E-3</v>
      </c>
      <c r="DT5" s="23">
        <v>8.1677350427350401E-2</v>
      </c>
      <c r="DU5" s="23">
        <v>3.5093813564201888E-2</v>
      </c>
      <c r="DV5" s="23">
        <v>8.0469847095874333E-2</v>
      </c>
    </row>
    <row r="6" spans="1:131" ht="23" customHeight="1" x14ac:dyDescent="0.4">
      <c r="A6" s="71"/>
      <c r="B6" s="9" t="s">
        <v>76</v>
      </c>
      <c r="C6" s="14" t="s">
        <v>4</v>
      </c>
      <c r="D6" s="1">
        <v>0.85</v>
      </c>
      <c r="E6" s="1">
        <v>0.82</v>
      </c>
      <c r="F6" s="1">
        <v>0.95</v>
      </c>
      <c r="G6" s="1">
        <v>0.95</v>
      </c>
      <c r="H6" s="1">
        <v>0.8</v>
      </c>
      <c r="I6" s="1">
        <v>0.6</v>
      </c>
      <c r="J6" s="1">
        <v>0.7</v>
      </c>
      <c r="K6" s="14">
        <v>0.8</v>
      </c>
      <c r="M6" s="71"/>
      <c r="N6" s="9" t="s">
        <v>76</v>
      </c>
      <c r="O6" s="13" t="s">
        <v>4</v>
      </c>
      <c r="P6" s="35">
        <f t="shared" si="10"/>
        <v>0.85</v>
      </c>
      <c r="Q6" s="19">
        <f t="shared" si="1"/>
        <v>0.82</v>
      </c>
      <c r="R6" s="19">
        <f t="shared" si="1"/>
        <v>0.95</v>
      </c>
      <c r="S6" s="19">
        <f t="shared" si="1"/>
        <v>0.95</v>
      </c>
      <c r="T6" s="19">
        <f t="shared" si="1"/>
        <v>0.8</v>
      </c>
      <c r="U6" s="19">
        <f t="shared" si="1"/>
        <v>0.6</v>
      </c>
      <c r="V6" s="19">
        <f t="shared" si="1"/>
        <v>0.7</v>
      </c>
      <c r="W6" s="36">
        <f t="shared" si="1"/>
        <v>0.8</v>
      </c>
      <c r="Y6" s="68"/>
      <c r="Z6" s="1" t="s">
        <v>76</v>
      </c>
      <c r="AA6" s="1" t="s">
        <v>4</v>
      </c>
      <c r="AB6" s="15" cm="1">
        <f t="array" ref="AB6:AI6">P6:W6/SUM(P6:W6)</f>
        <v>0.13137557959814528</v>
      </c>
      <c r="AC6" s="15">
        <v>0.12673879443585781</v>
      </c>
      <c r="AD6" s="15">
        <v>0.14683153013910355</v>
      </c>
      <c r="AE6" s="15">
        <v>0.14683153013910355</v>
      </c>
      <c r="AF6" s="15">
        <v>0.12364760432766617</v>
      </c>
      <c r="AG6" s="15">
        <v>9.2735703245749618E-2</v>
      </c>
      <c r="AH6" s="15">
        <v>0.10819165378670788</v>
      </c>
      <c r="AI6" s="15">
        <v>0.12364760432766617</v>
      </c>
      <c r="AJ6" s="15">
        <f t="shared" si="11"/>
        <v>1</v>
      </c>
      <c r="AK6" s="19"/>
      <c r="AL6" s="71"/>
      <c r="AM6" s="9" t="s">
        <v>76</v>
      </c>
      <c r="AN6" s="13" t="s">
        <v>4</v>
      </c>
      <c r="AO6" s="37">
        <f t="shared" si="12"/>
        <v>0.12823268011213731</v>
      </c>
      <c r="AP6" s="23">
        <f t="shared" si="13"/>
        <v>0.12589682204260833</v>
      </c>
      <c r="AQ6" s="23">
        <f t="shared" si="14"/>
        <v>0.1354651199885874</v>
      </c>
      <c r="AR6" s="23">
        <f t="shared" si="15"/>
        <v>0.1354651199885874</v>
      </c>
      <c r="AS6" s="23">
        <f t="shared" si="16"/>
        <v>0.12429443821144341</v>
      </c>
      <c r="AT6" s="23">
        <f t="shared" si="17"/>
        <v>0.10605042678157617</v>
      </c>
      <c r="AU6" s="23">
        <f t="shared" si="18"/>
        <v>0.11570516329383197</v>
      </c>
      <c r="AV6" s="25">
        <f t="shared" si="19"/>
        <v>0.12429443821144341</v>
      </c>
      <c r="AW6" s="23"/>
      <c r="AX6" s="24">
        <f t="shared" si="20"/>
        <v>0.99540420863021528</v>
      </c>
      <c r="AY6" s="25">
        <f t="shared" si="21"/>
        <v>4.5957913697847186E-3</v>
      </c>
      <c r="AZ6" s="23"/>
      <c r="BA6" s="12">
        <v>7.6914822398784239E-3</v>
      </c>
      <c r="BC6" s="13" t="s">
        <v>4</v>
      </c>
      <c r="BD6" s="26">
        <v>0.35166666666666668</v>
      </c>
      <c r="BE6" s="26">
        <v>0.46291666666666664</v>
      </c>
      <c r="BF6" s="26">
        <v>0.42583333333333334</v>
      </c>
      <c r="BG6" s="26">
        <v>0.5</v>
      </c>
      <c r="BH6" s="26">
        <v>0.38874999999999998</v>
      </c>
      <c r="BI6" s="26">
        <v>0.53708333333333336</v>
      </c>
      <c r="BJ6" s="26">
        <v>0.57416666666666671</v>
      </c>
      <c r="BK6" s="26">
        <v>0.64833333333333332</v>
      </c>
      <c r="BL6" s="26">
        <v>0.68541666666666667</v>
      </c>
      <c r="BM6" s="26">
        <v>0.38874999999999998</v>
      </c>
      <c r="BN6" s="26">
        <v>0.72250000000000003</v>
      </c>
      <c r="BO6" s="26">
        <v>0.75958333333333328</v>
      </c>
      <c r="BP6" s="27">
        <v>0.79666666666666663</v>
      </c>
      <c r="BQ6" s="26"/>
      <c r="BR6" s="28">
        <f t="shared" si="22"/>
        <v>7.2416666666666671</v>
      </c>
      <c r="BS6" s="29" cm="1">
        <f t="array" ref="BS6:CE6">(BR6-BS2:CE2)/26+0.5</f>
        <v>0.63977564102564111</v>
      </c>
      <c r="BT6" s="29">
        <v>0.58415064102564107</v>
      </c>
      <c r="BU6" s="29">
        <v>0.60269230769230775</v>
      </c>
      <c r="BV6" s="29">
        <v>0.56275641025641032</v>
      </c>
      <c r="BW6" s="29">
        <v>0.55277243589743597</v>
      </c>
      <c r="BX6" s="29">
        <v>0.52424679487179493</v>
      </c>
      <c r="BY6" s="29">
        <v>0.51141025641025639</v>
      </c>
      <c r="BZ6" s="29">
        <v>0.49144230769230768</v>
      </c>
      <c r="CA6" s="29">
        <v>0.47290064102564106</v>
      </c>
      <c r="CB6" s="29">
        <v>0.62123397435897443</v>
      </c>
      <c r="CC6" s="29">
        <v>0.45435897435897432</v>
      </c>
      <c r="CD6" s="29">
        <v>0.43581730769230764</v>
      </c>
      <c r="CE6" s="30">
        <v>0.41727564102564108</v>
      </c>
      <c r="CF6" s="38">
        <f t="shared" si="23"/>
        <v>6.8708333333333318</v>
      </c>
      <c r="CH6" s="12">
        <f t="shared" si="24"/>
        <v>8.1677350427350401E-2</v>
      </c>
      <c r="CI6" s="12"/>
      <c r="CJ6" s="12">
        <f t="shared" si="25"/>
        <v>2.5064315075666678E-2</v>
      </c>
      <c r="CK6" s="33"/>
      <c r="CL6" s="71"/>
      <c r="CM6" s="40" t="s">
        <v>4</v>
      </c>
      <c r="CN6" s="41">
        <v>3.5093813564201888E-2</v>
      </c>
      <c r="CO6" s="42">
        <v>8.0469847095874333E-2</v>
      </c>
      <c r="CQ6" s="1" t="s">
        <v>46</v>
      </c>
      <c r="CR6" s="1" t="s">
        <v>22</v>
      </c>
      <c r="CS6" s="29">
        <v>0.86964283666046915</v>
      </c>
      <c r="CU6" s="13" t="s">
        <v>46</v>
      </c>
      <c r="CV6" s="14" t="s">
        <v>22</v>
      </c>
      <c r="CW6" s="15">
        <v>0.94395598497547673</v>
      </c>
      <c r="CX6" s="15">
        <v>0.98135231423664748</v>
      </c>
      <c r="CY6" s="15">
        <v>0.99832687742776383</v>
      </c>
      <c r="CZ6" s="15">
        <v>0.35646738206955347</v>
      </c>
      <c r="DA6" s="34">
        <v>0.94391098415428443</v>
      </c>
      <c r="DC6" s="13" t="s">
        <v>46</v>
      </c>
      <c r="DD6" s="13" t="s">
        <v>22</v>
      </c>
      <c r="DE6" s="15">
        <v>0.89999999999999991</v>
      </c>
      <c r="DF6" s="15">
        <v>0.89999999999999991</v>
      </c>
      <c r="DG6" s="15">
        <v>0.89999999999999991</v>
      </c>
      <c r="DH6" s="15">
        <v>0.53286419238009475</v>
      </c>
      <c r="DI6" s="34">
        <v>0.89999999999999991</v>
      </c>
      <c r="DK6" s="67" t="s">
        <v>99</v>
      </c>
      <c r="DL6" s="15" cm="1">
        <f t="array" ref="DL6:DP6">DE5:DI5</f>
        <v>0.89999999999999991</v>
      </c>
      <c r="DM6" s="15">
        <v>0.89999999999999991</v>
      </c>
      <c r="DN6" s="15">
        <v>0.89999999999999991</v>
      </c>
      <c r="DO6" s="15">
        <v>0.53823133115207389</v>
      </c>
      <c r="DP6" s="15">
        <v>0.89999999999999991</v>
      </c>
      <c r="DR6" s="23" t="s">
        <v>5</v>
      </c>
      <c r="DS6" s="23">
        <v>6.4559932167772716E-4</v>
      </c>
      <c r="DT6" s="23">
        <v>8.001335470085473E-2</v>
      </c>
      <c r="DU6" s="23">
        <v>1.0063232243974899E-2</v>
      </c>
      <c r="DV6" s="23">
        <v>0.42379417224408011</v>
      </c>
    </row>
    <row r="7" spans="1:131" ht="23" customHeight="1" x14ac:dyDescent="0.4">
      <c r="A7" s="70" t="s">
        <v>63</v>
      </c>
      <c r="B7" s="14" t="s">
        <v>77</v>
      </c>
      <c r="C7" s="13" t="s">
        <v>5</v>
      </c>
      <c r="D7" s="1">
        <v>0.9</v>
      </c>
      <c r="E7" s="1">
        <v>0.95</v>
      </c>
      <c r="F7" s="1">
        <v>0.99</v>
      </c>
      <c r="G7" s="1">
        <v>0.99</v>
      </c>
      <c r="H7" s="1">
        <v>0.9</v>
      </c>
      <c r="I7" s="1">
        <v>0.99</v>
      </c>
      <c r="J7" s="1">
        <v>0.99</v>
      </c>
      <c r="K7" s="14">
        <v>0.99</v>
      </c>
      <c r="M7" s="70" t="s">
        <v>63</v>
      </c>
      <c r="N7" s="14" t="s">
        <v>77</v>
      </c>
      <c r="O7" s="13" t="s">
        <v>5</v>
      </c>
      <c r="P7" s="35">
        <f>D7</f>
        <v>0.9</v>
      </c>
      <c r="Q7" s="19">
        <f t="shared" si="1"/>
        <v>0.95</v>
      </c>
      <c r="R7" s="19">
        <f t="shared" si="1"/>
        <v>0.99</v>
      </c>
      <c r="S7" s="19">
        <f t="shared" si="1"/>
        <v>0.99</v>
      </c>
      <c r="T7" s="19">
        <f t="shared" si="1"/>
        <v>0.9</v>
      </c>
      <c r="U7" s="19">
        <f t="shared" si="1"/>
        <v>0.99</v>
      </c>
      <c r="V7" s="19">
        <f>J7</f>
        <v>0.99</v>
      </c>
      <c r="W7" s="36">
        <f t="shared" si="1"/>
        <v>0.99</v>
      </c>
      <c r="X7" s="19"/>
      <c r="Y7" s="68" t="s">
        <v>63</v>
      </c>
      <c r="Z7" s="1" t="s">
        <v>77</v>
      </c>
      <c r="AA7" s="1" t="s">
        <v>5</v>
      </c>
      <c r="AB7" s="15" cm="1">
        <f t="array" ref="AB7:AI7">P7:W7/SUM(P7:W7)</f>
        <v>0.11688311688311687</v>
      </c>
      <c r="AC7" s="15">
        <v>0.12337662337662335</v>
      </c>
      <c r="AD7" s="15">
        <v>0.12857142857142856</v>
      </c>
      <c r="AE7" s="15">
        <v>0.12857142857142856</v>
      </c>
      <c r="AF7" s="15">
        <v>0.11688311688311687</v>
      </c>
      <c r="AG7" s="15">
        <v>0.12857142857142856</v>
      </c>
      <c r="AH7" s="15">
        <v>0.12857142857142856</v>
      </c>
      <c r="AI7" s="15">
        <v>0.12857142857142856</v>
      </c>
      <c r="AJ7" s="15">
        <f>SUM(AB7:AI7)</f>
        <v>0.99999999999999989</v>
      </c>
      <c r="AK7" s="19"/>
      <c r="AL7" s="70" t="s">
        <v>63</v>
      </c>
      <c r="AM7" s="14" t="s">
        <v>77</v>
      </c>
      <c r="AN7" s="13" t="s">
        <v>5</v>
      </c>
      <c r="AO7" s="37">
        <f t="shared" si="12"/>
        <v>0.1206569430877632</v>
      </c>
      <c r="AP7" s="23">
        <f t="shared" si="13"/>
        <v>0.12415221107743506</v>
      </c>
      <c r="AQ7" s="23">
        <f t="shared" si="14"/>
        <v>0.12682962923582805</v>
      </c>
      <c r="AR7" s="23">
        <f t="shared" si="15"/>
        <v>0.12682962923582805</v>
      </c>
      <c r="AS7" s="23">
        <f t="shared" si="16"/>
        <v>0.1206569430877632</v>
      </c>
      <c r="AT7" s="23">
        <f t="shared" si="17"/>
        <v>0.12682962923582805</v>
      </c>
      <c r="AU7" s="23">
        <f t="shared" si="18"/>
        <v>0.12682962923582805</v>
      </c>
      <c r="AV7" s="25">
        <f t="shared" si="19"/>
        <v>0.12682962923582805</v>
      </c>
      <c r="AW7" s="23"/>
      <c r="AX7" s="24">
        <f t="shared" si="20"/>
        <v>0.99961424343210181</v>
      </c>
      <c r="AY7" s="25">
        <f t="shared" si="21"/>
        <v>3.857565678981878E-4</v>
      </c>
      <c r="AZ7" s="23"/>
      <c r="BA7" s="12">
        <v>6.4559932167772716E-4</v>
      </c>
      <c r="BC7" s="13" t="s">
        <v>5</v>
      </c>
      <c r="BD7" s="26">
        <v>0.31458333333333333</v>
      </c>
      <c r="BE7" s="26">
        <v>0.42583333333333334</v>
      </c>
      <c r="BF7" s="26">
        <v>0.38874999999999998</v>
      </c>
      <c r="BG7" s="26">
        <v>0.46291666666666664</v>
      </c>
      <c r="BH7" s="26">
        <v>0.5</v>
      </c>
      <c r="BI7" s="26">
        <v>0.53708333333333336</v>
      </c>
      <c r="BJ7" s="26">
        <v>0.57416666666666671</v>
      </c>
      <c r="BK7" s="26">
        <v>0.61124999999999996</v>
      </c>
      <c r="BL7" s="26">
        <v>0.64833333333333332</v>
      </c>
      <c r="BM7" s="26">
        <v>0.35166666666666668</v>
      </c>
      <c r="BN7" s="26">
        <v>0.68541666666666667</v>
      </c>
      <c r="BO7" s="26">
        <v>0.72250000000000003</v>
      </c>
      <c r="BP7" s="27">
        <v>0.75958333333333328</v>
      </c>
      <c r="BQ7" s="26"/>
      <c r="BR7" s="28">
        <f t="shared" si="22"/>
        <v>6.9820833333333336</v>
      </c>
      <c r="BS7" s="29" cm="1">
        <f t="array" ref="BS7:CE7">(BR7-BS2:CE2)/26+0.5</f>
        <v>0.62979166666666675</v>
      </c>
      <c r="BT7" s="29">
        <v>0.57416666666666671</v>
      </c>
      <c r="BU7" s="29">
        <v>0.59270833333333339</v>
      </c>
      <c r="BV7" s="29">
        <v>0.55277243589743597</v>
      </c>
      <c r="BW7" s="29">
        <v>0.54278846153846161</v>
      </c>
      <c r="BX7" s="29">
        <v>0.51426282051282057</v>
      </c>
      <c r="BY7" s="29">
        <v>0.50142628205128204</v>
      </c>
      <c r="BZ7" s="29">
        <v>0.48145833333333332</v>
      </c>
      <c r="CA7" s="29">
        <v>0.4629166666666667</v>
      </c>
      <c r="CB7" s="29">
        <v>0.61125000000000007</v>
      </c>
      <c r="CC7" s="29">
        <v>0.44437499999999996</v>
      </c>
      <c r="CD7" s="29">
        <v>0.42583333333333329</v>
      </c>
      <c r="CE7" s="30">
        <v>0.40729166666666666</v>
      </c>
      <c r="CF7" s="38">
        <f t="shared" si="23"/>
        <v>6.7410416666666668</v>
      </c>
      <c r="CH7" s="12">
        <f t="shared" si="24"/>
        <v>8.001335470085473E-2</v>
      </c>
      <c r="CI7" s="12"/>
      <c r="CJ7" s="12">
        <f t="shared" si="25"/>
        <v>7.1872503448837232E-3</v>
      </c>
      <c r="CK7" s="33"/>
      <c r="CL7" s="70" t="s">
        <v>63</v>
      </c>
      <c r="CM7" s="8" t="s">
        <v>5</v>
      </c>
      <c r="CN7" s="32">
        <v>1.0063232243974899E-2</v>
      </c>
      <c r="CO7" s="22" cm="1">
        <f t="array" ref="CO7:CO9">CN7:CN9/SUM(CN7:CN9)</f>
        <v>0.42379417224408011</v>
      </c>
      <c r="CQ7" s="1" t="s">
        <v>47</v>
      </c>
      <c r="CR7" s="1" t="s">
        <v>24</v>
      </c>
      <c r="CS7" s="29">
        <v>0.49104735415130552</v>
      </c>
      <c r="CU7" s="13" t="s">
        <v>47</v>
      </c>
      <c r="CV7" s="14" t="s">
        <v>24</v>
      </c>
      <c r="CW7" s="15">
        <v>0.58124581402711673</v>
      </c>
      <c r="CX7" s="15">
        <v>0.94321083873468026</v>
      </c>
      <c r="CY7" s="15">
        <v>0.89999999999999991</v>
      </c>
      <c r="CZ7" s="15">
        <v>0.2166980070492312</v>
      </c>
      <c r="DA7" s="34">
        <v>0.34350413144928982</v>
      </c>
      <c r="DC7" s="13" t="s">
        <v>47</v>
      </c>
      <c r="DD7" s="13" t="s">
        <v>24</v>
      </c>
      <c r="DE7" s="15">
        <v>0.62012524590117302</v>
      </c>
      <c r="DF7" s="15">
        <v>0.5370257472375598</v>
      </c>
      <c r="DG7" s="15">
        <v>0.80838405097361443</v>
      </c>
      <c r="DH7" s="15">
        <v>0.3</v>
      </c>
      <c r="DI7" s="34">
        <v>0.51243697618372586</v>
      </c>
      <c r="DL7" s="67" t="s">
        <v>105</v>
      </c>
      <c r="DM7" s="67" t="s">
        <v>106</v>
      </c>
      <c r="DN7" s="67" t="s">
        <v>107</v>
      </c>
      <c r="DO7" s="67" t="s">
        <v>108</v>
      </c>
      <c r="DP7" s="67" t="s">
        <v>109</v>
      </c>
      <c r="DR7" s="23" t="s">
        <v>6</v>
      </c>
      <c r="DS7" s="23">
        <v>3.1038408700124776E-4</v>
      </c>
      <c r="DT7" s="23">
        <v>7.7160790598290604E-2</v>
      </c>
      <c r="DU7" s="23">
        <v>6.8520856257579428E-3</v>
      </c>
      <c r="DV7" s="23">
        <v>0.28856274857934106</v>
      </c>
    </row>
    <row r="8" spans="1:131" ht="23" customHeight="1" x14ac:dyDescent="0.4">
      <c r="A8" s="69"/>
      <c r="B8" s="14" t="s">
        <v>78</v>
      </c>
      <c r="C8" s="13" t="s">
        <v>6</v>
      </c>
      <c r="D8" s="1">
        <v>0.95</v>
      </c>
      <c r="E8" s="1">
        <v>0.89</v>
      </c>
      <c r="F8" s="1">
        <v>0.97</v>
      </c>
      <c r="G8" s="1">
        <v>0.97</v>
      </c>
      <c r="H8" s="1">
        <v>0.97</v>
      </c>
      <c r="I8" s="1">
        <v>0.97</v>
      </c>
      <c r="J8" s="1">
        <v>0.97</v>
      </c>
      <c r="K8" s="14">
        <v>0.97</v>
      </c>
      <c r="M8" s="69"/>
      <c r="N8" s="14" t="s">
        <v>78</v>
      </c>
      <c r="O8" s="13" t="s">
        <v>6</v>
      </c>
      <c r="P8" s="35">
        <f t="shared" si="10"/>
        <v>0.95</v>
      </c>
      <c r="Q8" s="19">
        <f t="shared" si="1"/>
        <v>0.89</v>
      </c>
      <c r="R8" s="19">
        <f t="shared" si="1"/>
        <v>0.97</v>
      </c>
      <c r="S8" s="19">
        <f t="shared" si="1"/>
        <v>0.97</v>
      </c>
      <c r="T8" s="19">
        <f t="shared" si="1"/>
        <v>0.97</v>
      </c>
      <c r="U8" s="19">
        <f t="shared" si="1"/>
        <v>0.97</v>
      </c>
      <c r="V8" s="19">
        <f t="shared" si="1"/>
        <v>0.97</v>
      </c>
      <c r="W8" s="36">
        <f t="shared" si="1"/>
        <v>0.97</v>
      </c>
      <c r="Y8" s="68"/>
      <c r="Z8" s="1" t="s">
        <v>78</v>
      </c>
      <c r="AA8" s="1" t="s">
        <v>6</v>
      </c>
      <c r="AB8" s="15" cm="1">
        <f t="array" ref="AB8:AI8">P8:W8/SUM(P8:W8)</f>
        <v>0.12402088772845955</v>
      </c>
      <c r="AC8" s="15">
        <v>0.1161879895561358</v>
      </c>
      <c r="AD8" s="15">
        <v>0.12663185378590081</v>
      </c>
      <c r="AE8" s="15">
        <v>0.12663185378590081</v>
      </c>
      <c r="AF8" s="15">
        <v>0.12663185378590081</v>
      </c>
      <c r="AG8" s="15">
        <v>0.12663185378590081</v>
      </c>
      <c r="AH8" s="15">
        <v>0.12663185378590081</v>
      </c>
      <c r="AI8" s="15">
        <v>0.12663185378590081</v>
      </c>
      <c r="AJ8" s="15">
        <f t="shared" si="11"/>
        <v>1.0000000000000002</v>
      </c>
      <c r="AK8" s="19"/>
      <c r="AL8" s="69"/>
      <c r="AM8" s="14" t="s">
        <v>78</v>
      </c>
      <c r="AN8" s="13" t="s">
        <v>6</v>
      </c>
      <c r="AO8" s="37">
        <f t="shared" si="12"/>
        <v>0.12448989229392121</v>
      </c>
      <c r="AP8" s="23">
        <f t="shared" si="13"/>
        <v>0.12027266163416529</v>
      </c>
      <c r="AQ8" s="23">
        <f t="shared" si="14"/>
        <v>0.12584199771739316</v>
      </c>
      <c r="AR8" s="23">
        <f t="shared" si="15"/>
        <v>0.12584199771739316</v>
      </c>
      <c r="AS8" s="23">
        <f t="shared" si="16"/>
        <v>0.12584199771739316</v>
      </c>
      <c r="AT8" s="23">
        <f t="shared" si="17"/>
        <v>0.12584199771739316</v>
      </c>
      <c r="AU8" s="23">
        <f t="shared" si="18"/>
        <v>0.12584199771739316</v>
      </c>
      <c r="AV8" s="25">
        <f t="shared" si="19"/>
        <v>0.12584199771739316</v>
      </c>
      <c r="AW8" s="23"/>
      <c r="AX8" s="24">
        <f t="shared" si="20"/>
        <v>0.99981454023244531</v>
      </c>
      <c r="AY8" s="25">
        <f t="shared" si="21"/>
        <v>1.8545976755468541E-4</v>
      </c>
      <c r="AZ8" s="23"/>
      <c r="BA8" s="12">
        <v>3.1038408700124776E-4</v>
      </c>
      <c r="BC8" s="13" t="s">
        <v>6</v>
      </c>
      <c r="BD8" s="26">
        <v>0.27749999999999997</v>
      </c>
      <c r="BE8" s="26">
        <v>0.38874999999999998</v>
      </c>
      <c r="BF8" s="26">
        <v>0.35166666666666668</v>
      </c>
      <c r="BG8" s="26">
        <v>0.46291666666666664</v>
      </c>
      <c r="BH8" s="26">
        <v>0.46291666666666664</v>
      </c>
      <c r="BI8" s="26">
        <v>0.5</v>
      </c>
      <c r="BJ8" s="26">
        <v>0.53708333333333336</v>
      </c>
      <c r="BK8" s="26">
        <v>0.57416666666666671</v>
      </c>
      <c r="BL8" s="26">
        <v>0.61124999999999996</v>
      </c>
      <c r="BM8" s="26">
        <v>0.31458333333333333</v>
      </c>
      <c r="BN8" s="26">
        <v>0.64833333333333332</v>
      </c>
      <c r="BO8" s="26">
        <v>0.68541666666666667</v>
      </c>
      <c r="BP8" s="27">
        <v>0.72250000000000003</v>
      </c>
      <c r="BQ8" s="26"/>
      <c r="BR8" s="28">
        <f t="shared" si="22"/>
        <v>6.5370833333333334</v>
      </c>
      <c r="BS8" s="29" cm="1">
        <f t="array" ref="BS8:CE8">(BR8-BS2:CE2)/26+0.5</f>
        <v>0.61267628205128211</v>
      </c>
      <c r="BT8" s="29">
        <v>0.55705128205128207</v>
      </c>
      <c r="BU8" s="29">
        <v>0.57559294871794875</v>
      </c>
      <c r="BV8" s="29">
        <v>0.53565705128205132</v>
      </c>
      <c r="BW8" s="29">
        <v>0.52567307692307697</v>
      </c>
      <c r="BX8" s="29">
        <v>0.49714743589743593</v>
      </c>
      <c r="BY8" s="29">
        <v>0.48431089743589745</v>
      </c>
      <c r="BZ8" s="29">
        <v>0.46434294871794868</v>
      </c>
      <c r="CA8" s="29">
        <v>0.44580128205128206</v>
      </c>
      <c r="CB8" s="29">
        <v>0.59413461538461543</v>
      </c>
      <c r="CC8" s="29">
        <v>0.42725961538461532</v>
      </c>
      <c r="CD8" s="29">
        <v>0.40871794871794864</v>
      </c>
      <c r="CE8" s="30">
        <v>0.39017628205128208</v>
      </c>
      <c r="CF8" s="38">
        <f t="shared" si="23"/>
        <v>6.5185416666666676</v>
      </c>
      <c r="CH8" s="12">
        <f t="shared" si="24"/>
        <v>7.7160790598290604E-2</v>
      </c>
      <c r="CI8" s="12"/>
      <c r="CJ8" s="12">
        <f t="shared" si="25"/>
        <v>4.8938207509209913E-3</v>
      </c>
      <c r="CK8" s="33"/>
      <c r="CL8" s="69"/>
      <c r="CM8" s="39" t="s">
        <v>6</v>
      </c>
      <c r="CN8" s="12">
        <v>6.8520856257579428E-3</v>
      </c>
      <c r="CO8" s="25">
        <v>0.28856274857934106</v>
      </c>
      <c r="CQ8" s="1" t="s">
        <v>48</v>
      </c>
      <c r="CR8" s="1" t="s">
        <v>26</v>
      </c>
      <c r="CS8" s="29">
        <v>0.25488649439076694</v>
      </c>
      <c r="CU8" s="13" t="s">
        <v>48</v>
      </c>
      <c r="CV8" s="14" t="s">
        <v>26</v>
      </c>
      <c r="CW8" s="15">
        <v>0.16637208581403343</v>
      </c>
      <c r="CX8" s="15">
        <v>0.98135231423664748</v>
      </c>
      <c r="CY8" s="15">
        <v>0.90418280643059024</v>
      </c>
      <c r="CZ8" s="15">
        <v>0.576829052338107</v>
      </c>
      <c r="DA8" s="34">
        <v>1.4399938245601426E-2</v>
      </c>
      <c r="DC8" s="13" t="s">
        <v>48</v>
      </c>
      <c r="DD8" s="13" t="s">
        <v>26</v>
      </c>
      <c r="DE8" s="15">
        <v>0.3</v>
      </c>
      <c r="DF8" s="15">
        <v>0.89999999999999991</v>
      </c>
      <c r="DG8" s="15">
        <v>0.81228137580235948</v>
      </c>
      <c r="DH8" s="15">
        <v>0.89999999999999991</v>
      </c>
      <c r="DI8" s="34">
        <v>0.3</v>
      </c>
      <c r="DK8" s="67" t="s">
        <v>100</v>
      </c>
      <c r="DL8" s="15" cm="1">
        <f t="array" ref="DL8:DP8">DE6:DI6</f>
        <v>0.89999999999999991</v>
      </c>
      <c r="DM8" s="15">
        <v>0.89999999999999991</v>
      </c>
      <c r="DN8" s="15">
        <v>0.89999999999999991</v>
      </c>
      <c r="DO8" s="15">
        <v>0.53286419238009475</v>
      </c>
      <c r="DP8" s="15">
        <v>0.89999999999999991</v>
      </c>
      <c r="DR8" s="23" t="s">
        <v>7</v>
      </c>
      <c r="DS8" s="23">
        <v>3.1720386192165141E-4</v>
      </c>
      <c r="DT8" s="23">
        <v>7.5021367521367552E-2</v>
      </c>
      <c r="DU8" s="23">
        <v>6.830247555784809E-3</v>
      </c>
      <c r="DV8" s="23">
        <v>0.28764307917657894</v>
      </c>
    </row>
    <row r="9" spans="1:131" ht="23" customHeight="1" x14ac:dyDescent="0.4">
      <c r="A9" s="69"/>
      <c r="B9" s="14" t="s">
        <v>79</v>
      </c>
      <c r="C9" s="13" t="s">
        <v>7</v>
      </c>
      <c r="D9" s="1">
        <v>0.95</v>
      </c>
      <c r="E9" s="1">
        <v>0.9</v>
      </c>
      <c r="F9" s="1">
        <v>0.98</v>
      </c>
      <c r="G9" s="1">
        <v>0.98</v>
      </c>
      <c r="H9" s="1">
        <v>0.98</v>
      </c>
      <c r="I9" s="1">
        <v>0.98</v>
      </c>
      <c r="J9" s="1">
        <v>0.98</v>
      </c>
      <c r="K9" s="14">
        <v>0.98</v>
      </c>
      <c r="M9" s="69"/>
      <c r="N9" s="14" t="s">
        <v>79</v>
      </c>
      <c r="O9" s="13" t="s">
        <v>7</v>
      </c>
      <c r="P9" s="35">
        <f t="shared" si="10"/>
        <v>0.95</v>
      </c>
      <c r="Q9" s="19">
        <f t="shared" si="1"/>
        <v>0.9</v>
      </c>
      <c r="R9" s="19">
        <f t="shared" si="1"/>
        <v>0.98</v>
      </c>
      <c r="S9" s="19">
        <f t="shared" si="1"/>
        <v>0.98</v>
      </c>
      <c r="T9" s="19">
        <f t="shared" si="1"/>
        <v>0.98</v>
      </c>
      <c r="U9" s="19">
        <f t="shared" si="1"/>
        <v>0.98</v>
      </c>
      <c r="V9" s="19">
        <f t="shared" si="1"/>
        <v>0.98</v>
      </c>
      <c r="W9" s="36">
        <f t="shared" si="1"/>
        <v>0.98</v>
      </c>
      <c r="Y9" s="68"/>
      <c r="Z9" s="1" t="s">
        <v>79</v>
      </c>
      <c r="AA9" s="1" t="s">
        <v>7</v>
      </c>
      <c r="AB9" s="15" cm="1">
        <f t="array" ref="AB9:AI9">P9:W9/SUM(P9:W9)</f>
        <v>0.12289780077619662</v>
      </c>
      <c r="AC9" s="15">
        <v>0.11642949547218628</v>
      </c>
      <c r="AD9" s="15">
        <v>0.12677878395860284</v>
      </c>
      <c r="AE9" s="15">
        <v>0.12677878395860284</v>
      </c>
      <c r="AF9" s="15">
        <v>0.12677878395860284</v>
      </c>
      <c r="AG9" s="15">
        <v>0.12677878395860284</v>
      </c>
      <c r="AH9" s="15">
        <v>0.12677878395860284</v>
      </c>
      <c r="AI9" s="15">
        <v>0.12677878395860284</v>
      </c>
      <c r="AJ9" s="15">
        <f t="shared" si="11"/>
        <v>1</v>
      </c>
      <c r="AK9" s="19"/>
      <c r="AL9" s="69"/>
      <c r="AM9" s="14" t="s">
        <v>79</v>
      </c>
      <c r="AN9" s="13" t="s">
        <v>7</v>
      </c>
      <c r="AO9" s="37">
        <f t="shared" si="12"/>
        <v>0.12390019602476088</v>
      </c>
      <c r="AP9" s="23">
        <f t="shared" si="13"/>
        <v>0.12040639744871305</v>
      </c>
      <c r="AQ9" s="23">
        <f t="shared" si="14"/>
        <v>0.12591731197125686</v>
      </c>
      <c r="AR9" s="23">
        <f t="shared" si="15"/>
        <v>0.12591731197125686</v>
      </c>
      <c r="AS9" s="23">
        <f t="shared" si="16"/>
        <v>0.12591731197125686</v>
      </c>
      <c r="AT9" s="23">
        <f t="shared" si="17"/>
        <v>0.12591731197125686</v>
      </c>
      <c r="AU9" s="23">
        <f t="shared" si="18"/>
        <v>0.12591731197125686</v>
      </c>
      <c r="AV9" s="25">
        <f t="shared" si="19"/>
        <v>0.12591731197125686</v>
      </c>
      <c r="AW9" s="23"/>
      <c r="AX9" s="24">
        <f t="shared" si="20"/>
        <v>0.99981046530101525</v>
      </c>
      <c r="AY9" s="25">
        <f t="shared" si="21"/>
        <v>1.8953469898475017E-4</v>
      </c>
      <c r="AZ9" s="23"/>
      <c r="BA9" s="12">
        <v>3.1720386192165141E-4</v>
      </c>
      <c r="BC9" s="13" t="s">
        <v>7</v>
      </c>
      <c r="BD9" s="26">
        <v>0.24041666666666667</v>
      </c>
      <c r="BE9" s="26">
        <v>0.35166666666666668</v>
      </c>
      <c r="BF9" s="26">
        <v>0.31458333333333333</v>
      </c>
      <c r="BG9" s="26">
        <v>0.42583333333333334</v>
      </c>
      <c r="BH9" s="26">
        <v>0.42583333333333334</v>
      </c>
      <c r="BI9" s="26">
        <v>0.61124999999999996</v>
      </c>
      <c r="BJ9" s="26">
        <v>0.5</v>
      </c>
      <c r="BK9" s="26">
        <v>0.53708333333333336</v>
      </c>
      <c r="BL9" s="26">
        <v>0.57416666666666671</v>
      </c>
      <c r="BM9" s="26">
        <v>0.27749999999999997</v>
      </c>
      <c r="BN9" s="26">
        <v>0.61124999999999996</v>
      </c>
      <c r="BO9" s="26">
        <v>0.64833333333333332</v>
      </c>
      <c r="BP9" s="27">
        <v>0.68541666666666667</v>
      </c>
      <c r="BQ9" s="26"/>
      <c r="BR9" s="28">
        <f t="shared" si="22"/>
        <v>6.203333333333334</v>
      </c>
      <c r="BS9" s="29" cm="1">
        <f t="array" ref="BS9:CE9">(BR9-BS2:CE2)/26+0.5</f>
        <v>0.59983974358974368</v>
      </c>
      <c r="BT9" s="29">
        <v>0.54421474358974364</v>
      </c>
      <c r="BU9" s="29">
        <v>0.56275641025641032</v>
      </c>
      <c r="BV9" s="29">
        <v>0.52282051282051289</v>
      </c>
      <c r="BW9" s="29">
        <v>0.51283653846153854</v>
      </c>
      <c r="BX9" s="29">
        <v>0.4843108974358975</v>
      </c>
      <c r="BY9" s="29">
        <v>0.47147435897435896</v>
      </c>
      <c r="BZ9" s="29">
        <v>0.45150641025641025</v>
      </c>
      <c r="CA9" s="29">
        <v>0.43296474358974363</v>
      </c>
      <c r="CB9" s="29">
        <v>0.581298076923077</v>
      </c>
      <c r="CC9" s="29">
        <v>0.41442307692307689</v>
      </c>
      <c r="CD9" s="29">
        <v>0.39588141025641022</v>
      </c>
      <c r="CE9" s="30">
        <v>0.37733974358974365</v>
      </c>
      <c r="CF9" s="38">
        <f t="shared" si="23"/>
        <v>6.3516666666666675</v>
      </c>
      <c r="CH9" s="12">
        <f>2*CF9/13/12+1/13-1/12</f>
        <v>7.5021367521367552E-2</v>
      </c>
      <c r="CI9" s="12"/>
      <c r="CJ9" s="12">
        <f t="shared" si="25"/>
        <v>4.8782238063071002E-3</v>
      </c>
      <c r="CK9" s="33"/>
      <c r="CL9" s="71"/>
      <c r="CM9" s="40" t="s">
        <v>7</v>
      </c>
      <c r="CN9" s="41">
        <v>6.830247555784809E-3</v>
      </c>
      <c r="CO9" s="42">
        <v>0.28764307917657894</v>
      </c>
      <c r="CQ9" s="1" t="s">
        <v>49</v>
      </c>
      <c r="CR9" s="1" t="s">
        <v>28</v>
      </c>
      <c r="CS9" s="29">
        <v>0.61412583496277506</v>
      </c>
      <c r="CU9" s="13" t="s">
        <v>49</v>
      </c>
      <c r="CV9" s="14" t="s">
        <v>28</v>
      </c>
      <c r="CW9" s="15">
        <v>0.55403824046669592</v>
      </c>
      <c r="CX9" s="15">
        <v>0.98135231423664748</v>
      </c>
      <c r="CY9" s="15">
        <v>0.90418280643059024</v>
      </c>
      <c r="CZ9" s="15">
        <v>0.46888804332140299</v>
      </c>
      <c r="DA9" s="34">
        <v>0.65407195272863361</v>
      </c>
      <c r="DC9" s="13" t="s">
        <v>49</v>
      </c>
      <c r="DD9" s="13" t="s">
        <v>28</v>
      </c>
      <c r="DE9" s="15">
        <v>0.5991313130871615</v>
      </c>
      <c r="DF9" s="15">
        <v>0.89999999999999991</v>
      </c>
      <c r="DG9" s="15">
        <v>0.81228137580235948</v>
      </c>
      <c r="DH9" s="15">
        <v>0.72016378133112058</v>
      </c>
      <c r="DI9" s="34">
        <v>0.71290871192887884</v>
      </c>
      <c r="DL9" s="67" t="s">
        <v>105</v>
      </c>
      <c r="DM9" s="67" t="s">
        <v>106</v>
      </c>
      <c r="DN9" s="67" t="s">
        <v>107</v>
      </c>
      <c r="DO9" s="67" t="s">
        <v>108</v>
      </c>
      <c r="DP9" s="67" t="s">
        <v>109</v>
      </c>
      <c r="DR9" s="23" t="s">
        <v>8</v>
      </c>
      <c r="DS9" s="23">
        <v>4.288920817043948E-2</v>
      </c>
      <c r="DT9" s="23">
        <v>7.0742521367521391E-2</v>
      </c>
      <c r="DU9" s="23">
        <v>7.7123903888024481E-2</v>
      </c>
      <c r="DV9" s="23">
        <v>0.91634387138819307</v>
      </c>
    </row>
    <row r="10" spans="1:131" ht="23" customHeight="1" x14ac:dyDescent="0.4">
      <c r="A10" s="70" t="s">
        <v>64</v>
      </c>
      <c r="B10" s="7" t="s">
        <v>80</v>
      </c>
      <c r="C10" s="13" t="s">
        <v>8</v>
      </c>
      <c r="D10" s="1">
        <v>0.3</v>
      </c>
      <c r="E10" s="1">
        <v>0.5</v>
      </c>
      <c r="F10" s="1">
        <v>1</v>
      </c>
      <c r="G10" s="1">
        <v>1</v>
      </c>
      <c r="H10" s="1">
        <v>0.9</v>
      </c>
      <c r="I10" s="1">
        <v>0.9</v>
      </c>
      <c r="J10" s="1">
        <v>0.9</v>
      </c>
      <c r="K10" s="14">
        <v>0.9</v>
      </c>
      <c r="M10" s="70" t="s">
        <v>64</v>
      </c>
      <c r="N10" s="7" t="s">
        <v>80</v>
      </c>
      <c r="O10" s="13" t="s">
        <v>8</v>
      </c>
      <c r="P10" s="35">
        <f t="shared" si="10"/>
        <v>0.3</v>
      </c>
      <c r="Q10" s="19">
        <f t="shared" si="1"/>
        <v>0.5</v>
      </c>
      <c r="R10" s="19">
        <f t="shared" si="1"/>
        <v>1</v>
      </c>
      <c r="S10" s="19">
        <f t="shared" si="1"/>
        <v>1</v>
      </c>
      <c r="T10" s="19">
        <f t="shared" si="1"/>
        <v>0.9</v>
      </c>
      <c r="U10" s="19">
        <f t="shared" si="1"/>
        <v>0.9</v>
      </c>
      <c r="V10" s="19">
        <f t="shared" si="1"/>
        <v>0.9</v>
      </c>
      <c r="W10" s="36">
        <f t="shared" si="1"/>
        <v>0.9</v>
      </c>
      <c r="Y10" s="68" t="s">
        <v>64</v>
      </c>
      <c r="Z10" s="1" t="s">
        <v>80</v>
      </c>
      <c r="AA10" s="1" t="s">
        <v>8</v>
      </c>
      <c r="AB10" s="15" cm="1">
        <f t="array" ref="AB10:AI10">P10:W10/SUM(P10:W10)</f>
        <v>4.6874999999999993E-2</v>
      </c>
      <c r="AC10" s="15">
        <v>7.8125E-2</v>
      </c>
      <c r="AD10" s="15">
        <v>0.15625</v>
      </c>
      <c r="AE10" s="15">
        <v>0.15625</v>
      </c>
      <c r="AF10" s="15">
        <v>0.140625</v>
      </c>
      <c r="AG10" s="15">
        <v>0.140625</v>
      </c>
      <c r="AH10" s="15">
        <v>0.140625</v>
      </c>
      <c r="AI10" s="15">
        <v>0.140625</v>
      </c>
      <c r="AJ10" s="15">
        <f t="shared" si="11"/>
        <v>1</v>
      </c>
      <c r="AK10" s="19"/>
      <c r="AL10" s="70" t="s">
        <v>64</v>
      </c>
      <c r="AM10" s="7" t="s">
        <v>80</v>
      </c>
      <c r="AN10" s="13" t="s">
        <v>8</v>
      </c>
      <c r="AO10" s="37">
        <f t="shared" si="12"/>
        <v>6.8984960926231936E-2</v>
      </c>
      <c r="AP10" s="23">
        <f t="shared" si="13"/>
        <v>9.5783122528974945E-2</v>
      </c>
      <c r="AQ10" s="23">
        <f t="shared" si="14"/>
        <v>0.13948291172461658</v>
      </c>
      <c r="AR10" s="23">
        <f t="shared" si="15"/>
        <v>0.13948291172461658</v>
      </c>
      <c r="AS10" s="23">
        <f t="shared" si="16"/>
        <v>0.13265976555739162</v>
      </c>
      <c r="AT10" s="23">
        <f t="shared" si="17"/>
        <v>0.13265976555739162</v>
      </c>
      <c r="AU10" s="23">
        <f t="shared" si="18"/>
        <v>0.13265976555739162</v>
      </c>
      <c r="AV10" s="25">
        <f t="shared" si="19"/>
        <v>0.13265976555739162</v>
      </c>
      <c r="AW10" s="23"/>
      <c r="AX10" s="24">
        <f t="shared" si="20"/>
        <v>0.97437296913400639</v>
      </c>
      <c r="AY10" s="25">
        <f t="shared" si="21"/>
        <v>2.5627030865993605E-2</v>
      </c>
      <c r="AZ10" s="23"/>
      <c r="BA10" s="12">
        <v>4.288920817043948E-2</v>
      </c>
      <c r="BC10" s="13" t="s">
        <v>8</v>
      </c>
      <c r="BD10" s="26">
        <v>0.20333333333333337</v>
      </c>
      <c r="BE10" s="26">
        <v>0.31458333333333333</v>
      </c>
      <c r="BF10" s="26">
        <v>0.27749999999999997</v>
      </c>
      <c r="BG10" s="26">
        <v>0.35166666666666668</v>
      </c>
      <c r="BH10" s="26">
        <v>0.38874999999999998</v>
      </c>
      <c r="BI10" s="26">
        <v>0.42583333333333334</v>
      </c>
      <c r="BJ10" s="26">
        <v>0.46291666666666664</v>
      </c>
      <c r="BK10" s="26">
        <v>0.5</v>
      </c>
      <c r="BL10" s="26">
        <v>0.53708333333333336</v>
      </c>
      <c r="BM10" s="26">
        <v>0.24041666666666667</v>
      </c>
      <c r="BN10" s="26">
        <v>0.57416666666666671</v>
      </c>
      <c r="BO10" s="26">
        <v>0.61124999999999996</v>
      </c>
      <c r="BP10" s="27">
        <v>0.64833333333333332</v>
      </c>
      <c r="BQ10" s="26"/>
      <c r="BR10" s="28">
        <f t="shared" si="22"/>
        <v>5.5358333333333327</v>
      </c>
      <c r="BS10" s="29" cm="1">
        <f t="array" ref="BS10:CE10">(BR10-BS2:CE2)/26+0.5</f>
        <v>0.57416666666666671</v>
      </c>
      <c r="BT10" s="29">
        <v>0.51854166666666668</v>
      </c>
      <c r="BU10" s="29">
        <v>0.53708333333333336</v>
      </c>
      <c r="BV10" s="29">
        <v>0.49714743589743587</v>
      </c>
      <c r="BW10" s="29">
        <v>0.48716346153846152</v>
      </c>
      <c r="BX10" s="29">
        <v>0.45863782051282054</v>
      </c>
      <c r="BY10" s="29">
        <v>0.445801282051282</v>
      </c>
      <c r="BZ10" s="29">
        <v>0.42583333333333329</v>
      </c>
      <c r="CA10" s="29">
        <v>0.40729166666666661</v>
      </c>
      <c r="CB10" s="29">
        <v>0.55562500000000004</v>
      </c>
      <c r="CC10" s="29">
        <v>0.38874999999999993</v>
      </c>
      <c r="CD10" s="29">
        <v>0.37020833333333325</v>
      </c>
      <c r="CE10" s="30">
        <v>0.35166666666666663</v>
      </c>
      <c r="CF10" s="38">
        <f t="shared" si="23"/>
        <v>6.0179166666666664</v>
      </c>
      <c r="CH10" s="12">
        <f t="shared" si="24"/>
        <v>7.0742521367521391E-2</v>
      </c>
      <c r="CI10" s="12"/>
      <c r="CJ10" s="12">
        <f t="shared" si="25"/>
        <v>5.5082580961982784E-2</v>
      </c>
      <c r="CK10" s="33"/>
      <c r="CL10" s="69" t="s">
        <v>64</v>
      </c>
      <c r="CM10" s="39" t="s">
        <v>8</v>
      </c>
      <c r="CN10" s="12">
        <v>7.7123903888024481E-2</v>
      </c>
      <c r="CO10" s="25" cm="1">
        <f t="array" ref="CO10:CO11">CN10:CN11/SUM(CN10:CN11)</f>
        <v>0.91634387138819307</v>
      </c>
      <c r="CQ10" s="1" t="s">
        <v>50</v>
      </c>
      <c r="CR10" s="1" t="s">
        <v>30</v>
      </c>
      <c r="CS10" s="29">
        <v>0.36449985775197541</v>
      </c>
      <c r="CU10" s="9" t="s">
        <v>50</v>
      </c>
      <c r="CV10" s="43" t="s">
        <v>30</v>
      </c>
      <c r="CW10" s="44">
        <v>0.18546380834132348</v>
      </c>
      <c r="CX10" s="44">
        <v>0.98135231423664748</v>
      </c>
      <c r="CY10" s="44">
        <v>0.90418280643059024</v>
      </c>
      <c r="CZ10" s="44">
        <v>0.33331131535500358</v>
      </c>
      <c r="DA10" s="45">
        <v>0.43396782690700764</v>
      </c>
      <c r="DC10" s="9" t="s">
        <v>50</v>
      </c>
      <c r="DD10" s="9" t="s">
        <v>30</v>
      </c>
      <c r="DE10" s="44">
        <v>0.31473157241132088</v>
      </c>
      <c r="DF10" s="44">
        <v>0.89999999999999991</v>
      </c>
      <c r="DG10" s="44">
        <v>0.81228137580235948</v>
      </c>
      <c r="DH10" s="44">
        <v>0.49428479132461145</v>
      </c>
      <c r="DI10" s="45">
        <v>0.57083135192949086</v>
      </c>
      <c r="DK10" s="67" t="s">
        <v>101</v>
      </c>
      <c r="DL10" s="15" cm="1">
        <f t="array" ref="DL10:DP10">DE7:DI7</f>
        <v>0.62012524590117302</v>
      </c>
      <c r="DM10" s="15">
        <v>0.5370257472375598</v>
      </c>
      <c r="DN10" s="15">
        <v>0.80838405097361443</v>
      </c>
      <c r="DO10" s="15">
        <v>0.3</v>
      </c>
      <c r="DP10" s="15">
        <v>0.51243697618372586</v>
      </c>
      <c r="DR10" s="23" t="s">
        <v>9</v>
      </c>
      <c r="DS10" s="23">
        <v>3.737876302737299E-4</v>
      </c>
      <c r="DT10" s="23">
        <v>6.7652243589743574E-2</v>
      </c>
      <c r="DU10" s="23">
        <v>7.0409018100673001E-3</v>
      </c>
      <c r="DV10" s="23">
        <v>8.3656128611806838E-2</v>
      </c>
    </row>
    <row r="11" spans="1:131" ht="23" customHeight="1" x14ac:dyDescent="0.4">
      <c r="A11" s="71"/>
      <c r="B11" s="43" t="s">
        <v>96</v>
      </c>
      <c r="C11" s="13" t="s">
        <v>9</v>
      </c>
      <c r="D11" s="1">
        <v>0.95</v>
      </c>
      <c r="E11" s="1">
        <v>0.9</v>
      </c>
      <c r="F11" s="1">
        <v>0.98</v>
      </c>
      <c r="G11" s="1">
        <v>0.98</v>
      </c>
      <c r="H11" s="1">
        <v>0.9</v>
      </c>
      <c r="I11" s="1">
        <v>0.95</v>
      </c>
      <c r="J11" s="1">
        <v>0.95</v>
      </c>
      <c r="K11" s="14">
        <v>0.95</v>
      </c>
      <c r="M11" s="71"/>
      <c r="N11" s="43" t="s">
        <v>96</v>
      </c>
      <c r="O11" s="13" t="s">
        <v>9</v>
      </c>
      <c r="P11" s="35">
        <f t="shared" si="10"/>
        <v>0.95</v>
      </c>
      <c r="Q11" s="19">
        <f t="shared" si="1"/>
        <v>0.9</v>
      </c>
      <c r="R11" s="19">
        <f t="shared" si="1"/>
        <v>0.98</v>
      </c>
      <c r="S11" s="19">
        <f t="shared" si="1"/>
        <v>0.98</v>
      </c>
      <c r="T11" s="19">
        <f t="shared" si="1"/>
        <v>0.9</v>
      </c>
      <c r="U11" s="19">
        <f t="shared" si="1"/>
        <v>0.95</v>
      </c>
      <c r="V11" s="19">
        <f t="shared" si="1"/>
        <v>0.95</v>
      </c>
      <c r="W11" s="36">
        <f t="shared" si="1"/>
        <v>0.95</v>
      </c>
      <c r="Y11" s="68"/>
      <c r="Z11" s="1" t="s">
        <v>96</v>
      </c>
      <c r="AA11" s="1" t="s">
        <v>9</v>
      </c>
      <c r="AB11" s="15" cm="1">
        <f t="array" ref="AB11:AI11">P11:W11/SUM(P11:W11)</f>
        <v>0.12566137566137564</v>
      </c>
      <c r="AC11" s="15">
        <v>0.11904761904761904</v>
      </c>
      <c r="AD11" s="15">
        <v>0.12962962962962962</v>
      </c>
      <c r="AE11" s="15">
        <v>0.12962962962962962</v>
      </c>
      <c r="AF11" s="15">
        <v>0.11904761904761904</v>
      </c>
      <c r="AG11" s="15">
        <v>0.12566137566137564</v>
      </c>
      <c r="AH11" s="15">
        <v>0.12566137566137564</v>
      </c>
      <c r="AI11" s="15">
        <v>0.12566137566137564</v>
      </c>
      <c r="AJ11" s="15">
        <f t="shared" si="11"/>
        <v>0.99999999999999978</v>
      </c>
      <c r="AK11" s="19"/>
      <c r="AL11" s="71"/>
      <c r="AM11" s="43" t="s">
        <v>96</v>
      </c>
      <c r="AN11" s="13" t="s">
        <v>9</v>
      </c>
      <c r="AO11" s="37">
        <f t="shared" si="12"/>
        <v>0.12534248126523889</v>
      </c>
      <c r="AP11" s="23">
        <f t="shared" si="13"/>
        <v>0.12184084634489674</v>
      </c>
      <c r="AQ11" s="23">
        <f t="shared" si="14"/>
        <v>0.12736251889346328</v>
      </c>
      <c r="AR11" s="23">
        <f t="shared" si="15"/>
        <v>0.12736251889346328</v>
      </c>
      <c r="AS11" s="23">
        <f t="shared" si="16"/>
        <v>0.12184084634489674</v>
      </c>
      <c r="AT11" s="23">
        <f t="shared" si="17"/>
        <v>0.12534248126523889</v>
      </c>
      <c r="AU11" s="23">
        <f t="shared" si="18"/>
        <v>0.12534248126523889</v>
      </c>
      <c r="AV11" s="25">
        <f t="shared" si="19"/>
        <v>0.12534248126523889</v>
      </c>
      <c r="AW11" s="23"/>
      <c r="AX11" s="24">
        <f t="shared" si="20"/>
        <v>0.99977665553767547</v>
      </c>
      <c r="AY11" s="25">
        <f t="shared" si="21"/>
        <v>2.2334446232452621E-4</v>
      </c>
      <c r="AZ11" s="23"/>
      <c r="BA11" s="12">
        <v>3.737876302737299E-4</v>
      </c>
      <c r="BC11" s="13" t="s">
        <v>9</v>
      </c>
      <c r="BD11" s="26">
        <v>0.16625000000000001</v>
      </c>
      <c r="BE11" s="26">
        <v>0.27749999999999997</v>
      </c>
      <c r="BF11" s="26">
        <v>0.24041666666666667</v>
      </c>
      <c r="BG11" s="26">
        <v>0.31458333333333333</v>
      </c>
      <c r="BH11" s="26">
        <v>0.35166666666666668</v>
      </c>
      <c r="BI11" s="26">
        <v>0.38874999999999998</v>
      </c>
      <c r="BJ11" s="26">
        <v>0.42583333333333334</v>
      </c>
      <c r="BK11" s="26">
        <v>0.46291666666666664</v>
      </c>
      <c r="BL11" s="26">
        <v>0.5</v>
      </c>
      <c r="BM11" s="26">
        <v>0.20333333333333337</v>
      </c>
      <c r="BN11" s="26">
        <v>0.53708333333333336</v>
      </c>
      <c r="BO11" s="26">
        <v>0.57416666666666671</v>
      </c>
      <c r="BP11" s="27">
        <v>0.61124999999999996</v>
      </c>
      <c r="BQ11" s="26"/>
      <c r="BR11" s="28">
        <f t="shared" si="22"/>
        <v>5.05375</v>
      </c>
      <c r="BS11" s="29" cm="1">
        <f t="array" ref="BS11:CE11">(BR11-BS2:CE2)/26+0.5</f>
        <v>0.55562500000000004</v>
      </c>
      <c r="BT11" s="29">
        <v>0.5</v>
      </c>
      <c r="BU11" s="29">
        <v>0.51854166666666668</v>
      </c>
      <c r="BV11" s="29">
        <v>0.47860576923076925</v>
      </c>
      <c r="BW11" s="29">
        <v>0.46862179487179489</v>
      </c>
      <c r="BX11" s="29">
        <v>0.44009615384615386</v>
      </c>
      <c r="BY11" s="29">
        <v>0.42725961538461538</v>
      </c>
      <c r="BZ11" s="29">
        <v>0.40729166666666661</v>
      </c>
      <c r="CA11" s="29">
        <v>0.38874999999999998</v>
      </c>
      <c r="CB11" s="29">
        <v>0.53708333333333336</v>
      </c>
      <c r="CC11" s="29">
        <v>0.37020833333333325</v>
      </c>
      <c r="CD11" s="29">
        <v>0.35166666666666657</v>
      </c>
      <c r="CE11" s="30">
        <v>0.333125</v>
      </c>
      <c r="CF11" s="38">
        <f t="shared" si="23"/>
        <v>5.7768749999999995</v>
      </c>
      <c r="CH11" s="12">
        <f t="shared" si="24"/>
        <v>6.7652243589743574E-2</v>
      </c>
      <c r="CI11" s="12"/>
      <c r="CJ11" s="12">
        <f t="shared" si="25"/>
        <v>5.0286749561004023E-3</v>
      </c>
      <c r="CK11" s="33"/>
      <c r="CL11" s="69"/>
      <c r="CM11" s="39" t="s">
        <v>9</v>
      </c>
      <c r="CN11" s="12">
        <v>7.0409018100673001E-3</v>
      </c>
      <c r="CO11" s="25">
        <v>8.3656128611806838E-2</v>
      </c>
      <c r="DL11" s="67" t="s">
        <v>105</v>
      </c>
      <c r="DM11" s="67" t="s">
        <v>106</v>
      </c>
      <c r="DN11" s="67" t="s">
        <v>107</v>
      </c>
      <c r="DO11" s="67" t="s">
        <v>108</v>
      </c>
      <c r="DP11" s="67" t="s">
        <v>109</v>
      </c>
      <c r="DR11" s="23" t="s">
        <v>10</v>
      </c>
      <c r="DS11" s="23">
        <v>8.1780188919408619E-3</v>
      </c>
      <c r="DT11" s="23">
        <v>9.2374465811965831E-2</v>
      </c>
      <c r="DU11" s="23">
        <v>3.8483516356229326E-2</v>
      </c>
      <c r="DV11" s="23">
        <v>0.28344808280806649</v>
      </c>
    </row>
    <row r="12" spans="1:131" ht="23" customHeight="1" x14ac:dyDescent="0.4">
      <c r="A12" s="70" t="s">
        <v>65</v>
      </c>
      <c r="B12" s="7" t="s">
        <v>81</v>
      </c>
      <c r="C12" s="13" t="s">
        <v>10</v>
      </c>
      <c r="D12" s="46">
        <v>0.27500000000000002</v>
      </c>
      <c r="E12" s="46">
        <v>0.27500000000000002</v>
      </c>
      <c r="F12" s="46">
        <v>0.27</v>
      </c>
      <c r="G12" s="46">
        <v>0.28499999999999998</v>
      </c>
      <c r="H12" s="46">
        <v>0.67</v>
      </c>
      <c r="I12" s="46">
        <v>0.26</v>
      </c>
      <c r="J12" s="46">
        <v>0.11</v>
      </c>
      <c r="K12" s="47">
        <v>0.4</v>
      </c>
      <c r="M12" s="70" t="s">
        <v>65</v>
      </c>
      <c r="N12" s="7" t="s">
        <v>81</v>
      </c>
      <c r="O12" s="13" t="s">
        <v>10</v>
      </c>
      <c r="P12" s="35">
        <f>EXP(-D12)</f>
        <v>0.75957212322496848</v>
      </c>
      <c r="Q12" s="19">
        <f t="shared" ref="Q12:W12" si="26">EXP(-E12)</f>
        <v>0.75957212322496848</v>
      </c>
      <c r="R12" s="19">
        <f t="shared" si="26"/>
        <v>0.76337949433685315</v>
      </c>
      <c r="S12" s="19">
        <f t="shared" si="26"/>
        <v>0.75201425431938262</v>
      </c>
      <c r="T12" s="19">
        <f t="shared" si="26"/>
        <v>0.51170857778654244</v>
      </c>
      <c r="U12" s="19">
        <f t="shared" si="26"/>
        <v>0.77105158580356625</v>
      </c>
      <c r="V12" s="19">
        <f t="shared" si="26"/>
        <v>0.89583413529652822</v>
      </c>
      <c r="W12" s="36">
        <f t="shared" si="26"/>
        <v>0.67032004603563933</v>
      </c>
      <c r="Y12" s="68" t="s">
        <v>65</v>
      </c>
      <c r="Z12" s="1" t="s">
        <v>81</v>
      </c>
      <c r="AA12" s="1" t="s">
        <v>10</v>
      </c>
      <c r="AB12" s="15" cm="1">
        <f t="array" ref="AB12:AI12">P12:W12/SUM(P12:W12)</f>
        <v>0.12910313185630318</v>
      </c>
      <c r="AC12" s="15">
        <v>0.12910313185630318</v>
      </c>
      <c r="AD12" s="15">
        <v>0.12975026399774689</v>
      </c>
      <c r="AE12" s="15">
        <v>0.12781853423082989</v>
      </c>
      <c r="AF12" s="15">
        <v>8.6974202936106054E-2</v>
      </c>
      <c r="AG12" s="15">
        <v>0.13105427583013918</v>
      </c>
      <c r="AH12" s="15">
        <v>0.15226334531541327</v>
      </c>
      <c r="AI12" s="15">
        <v>0.11393311397715816</v>
      </c>
      <c r="AJ12" s="15">
        <f t="shared" si="11"/>
        <v>0.99999999999999978</v>
      </c>
      <c r="AK12" s="19"/>
      <c r="AL12" s="70" t="s">
        <v>65</v>
      </c>
      <c r="AM12" s="7" t="s">
        <v>81</v>
      </c>
      <c r="AN12" s="13" t="s">
        <v>10</v>
      </c>
      <c r="AO12" s="37">
        <f t="shared" si="12"/>
        <v>0.12709790614838559</v>
      </c>
      <c r="AP12" s="23">
        <f t="shared" si="13"/>
        <v>0.12709790614838559</v>
      </c>
      <c r="AQ12" s="23">
        <f t="shared" si="14"/>
        <v>0.12742300361676792</v>
      </c>
      <c r="AR12" s="23">
        <f t="shared" si="15"/>
        <v>0.12644793807030491</v>
      </c>
      <c r="AS12" s="23">
        <f t="shared" si="16"/>
        <v>0.10214449381855008</v>
      </c>
      <c r="AT12" s="23">
        <f t="shared" si="17"/>
        <v>0.12807338824739159</v>
      </c>
      <c r="AU12" s="23">
        <f t="shared" si="18"/>
        <v>0.13781656938826806</v>
      </c>
      <c r="AV12" s="25">
        <f t="shared" si="19"/>
        <v>0.11901228927293303</v>
      </c>
      <c r="AW12" s="23"/>
      <c r="AX12" s="24">
        <f t="shared" si="20"/>
        <v>0.99511349471098665</v>
      </c>
      <c r="AY12" s="25">
        <f t="shared" si="21"/>
        <v>4.8865052890133542E-3</v>
      </c>
      <c r="AZ12" s="23"/>
      <c r="BA12" s="12">
        <v>8.1780188919408619E-3</v>
      </c>
      <c r="BC12" s="13" t="s">
        <v>10</v>
      </c>
      <c r="BD12" s="26">
        <v>0.46291666666666664</v>
      </c>
      <c r="BE12" s="26">
        <v>0.57416666666666671</v>
      </c>
      <c r="BF12" s="26">
        <v>0.53708333333333336</v>
      </c>
      <c r="BG12" s="26">
        <v>0.61124999999999996</v>
      </c>
      <c r="BH12" s="26">
        <v>0.64833333333333332</v>
      </c>
      <c r="BI12" s="26">
        <v>0.68541666666666667</v>
      </c>
      <c r="BJ12" s="26">
        <v>0.72250000000000003</v>
      </c>
      <c r="BK12" s="26">
        <v>0.75958333333333328</v>
      </c>
      <c r="BL12" s="26">
        <v>0.79666666666666663</v>
      </c>
      <c r="BM12" s="26">
        <v>0.5</v>
      </c>
      <c r="BN12" s="26">
        <v>0.83374999999999999</v>
      </c>
      <c r="BO12" s="26">
        <v>0.87083333333333335</v>
      </c>
      <c r="BP12" s="27">
        <v>0.90791666666666671</v>
      </c>
      <c r="BQ12" s="26"/>
      <c r="BR12" s="28">
        <f t="shared" si="22"/>
        <v>8.9104166666666682</v>
      </c>
      <c r="BS12" s="29" cm="1">
        <f t="array" ref="BS12:CE12">(BR12-BS2:CE2)/26+0.5</f>
        <v>0.70395833333333346</v>
      </c>
      <c r="BT12" s="29">
        <v>0.64833333333333343</v>
      </c>
      <c r="BU12" s="29">
        <v>0.66687500000000011</v>
      </c>
      <c r="BV12" s="29">
        <v>0.62693910256410268</v>
      </c>
      <c r="BW12" s="29">
        <v>0.61695512820512832</v>
      </c>
      <c r="BX12" s="29">
        <v>0.58842948717948729</v>
      </c>
      <c r="BY12" s="29">
        <v>0.57559294871794875</v>
      </c>
      <c r="BZ12" s="29">
        <v>0.55562500000000004</v>
      </c>
      <c r="CA12" s="29">
        <v>0.53708333333333336</v>
      </c>
      <c r="CB12" s="29">
        <v>0.68541666666666679</v>
      </c>
      <c r="CC12" s="29">
        <v>0.51854166666666668</v>
      </c>
      <c r="CD12" s="29">
        <v>0.5</v>
      </c>
      <c r="CE12" s="30">
        <v>0.48145833333333338</v>
      </c>
      <c r="CF12" s="38">
        <f t="shared" si="23"/>
        <v>7.7052083333333341</v>
      </c>
      <c r="CH12" s="12">
        <f t="shared" si="24"/>
        <v>9.2374465811965831E-2</v>
      </c>
      <c r="CI12" s="12"/>
      <c r="CJ12" s="12">
        <f t="shared" si="25"/>
        <v>2.7485271083676831E-2</v>
      </c>
      <c r="CK12" s="33"/>
      <c r="CL12" s="70" t="s">
        <v>65</v>
      </c>
      <c r="CM12" s="8" t="s">
        <v>10</v>
      </c>
      <c r="CN12" s="32">
        <v>3.8483516356229326E-2</v>
      </c>
      <c r="CO12" s="22" cm="1">
        <f t="array" ref="CO12:CO13">CN12:CN13/SUM(CN12:CN13)</f>
        <v>0.28344808280806649</v>
      </c>
      <c r="CQ12" s="68" t="s">
        <v>82</v>
      </c>
      <c r="CR12" s="68"/>
      <c r="CS12" s="68" t="s">
        <v>60</v>
      </c>
      <c r="DC12" s="67"/>
      <c r="DK12" s="67" t="s">
        <v>102</v>
      </c>
      <c r="DL12" s="15" cm="1">
        <f t="array" ref="DL12:DP12">DE8:DI8</f>
        <v>0.3</v>
      </c>
      <c r="DM12" s="15">
        <v>0.89999999999999991</v>
      </c>
      <c r="DN12" s="15">
        <v>0.81228137580235948</v>
      </c>
      <c r="DO12" s="15">
        <v>0.89999999999999991</v>
      </c>
      <c r="DP12" s="15">
        <v>0.3</v>
      </c>
      <c r="DR12" s="23" t="s">
        <v>11</v>
      </c>
      <c r="DS12" s="23">
        <v>7.4777610089339655E-2</v>
      </c>
      <c r="DT12" s="23">
        <v>6.4561965811965813E-2</v>
      </c>
      <c r="DU12" s="23">
        <v>9.7285672748810365E-2</v>
      </c>
      <c r="DV12" s="23">
        <v>0.71655191719193356</v>
      </c>
    </row>
    <row r="13" spans="1:131" ht="23" customHeight="1" x14ac:dyDescent="0.4">
      <c r="A13" s="71"/>
      <c r="B13" s="43" t="s">
        <v>83</v>
      </c>
      <c r="C13" s="13" t="s">
        <v>11</v>
      </c>
      <c r="D13" s="1">
        <v>0.2</v>
      </c>
      <c r="E13" s="1">
        <v>0.3</v>
      </c>
      <c r="F13" s="1">
        <v>0.2</v>
      </c>
      <c r="G13" s="1">
        <v>0.2</v>
      </c>
      <c r="H13" s="1">
        <v>0.1</v>
      </c>
      <c r="I13" s="1">
        <v>0.5</v>
      </c>
      <c r="J13" s="1">
        <v>0.3</v>
      </c>
      <c r="K13" s="14">
        <v>0.2</v>
      </c>
      <c r="M13" s="71"/>
      <c r="N13" s="43" t="s">
        <v>83</v>
      </c>
      <c r="O13" s="13" t="s">
        <v>11</v>
      </c>
      <c r="P13" s="35">
        <f>D13</f>
        <v>0.2</v>
      </c>
      <c r="Q13" s="19">
        <f t="shared" ref="Q13:W13" si="27">E13</f>
        <v>0.3</v>
      </c>
      <c r="R13" s="19">
        <f t="shared" si="27"/>
        <v>0.2</v>
      </c>
      <c r="S13" s="19">
        <f t="shared" si="27"/>
        <v>0.2</v>
      </c>
      <c r="T13" s="19">
        <f t="shared" si="27"/>
        <v>0.1</v>
      </c>
      <c r="U13" s="19">
        <f t="shared" si="27"/>
        <v>0.5</v>
      </c>
      <c r="V13" s="19">
        <f t="shared" si="27"/>
        <v>0.3</v>
      </c>
      <c r="W13" s="36">
        <f t="shared" si="27"/>
        <v>0.2</v>
      </c>
      <c r="Y13" s="68"/>
      <c r="Z13" s="1" t="s">
        <v>83</v>
      </c>
      <c r="AA13" s="1" t="s">
        <v>11</v>
      </c>
      <c r="AB13" s="15" cm="1">
        <f t="array" ref="AB13:AI13">P13:W13/SUM(P13:W13)</f>
        <v>0.1</v>
      </c>
      <c r="AC13" s="15">
        <v>0.15</v>
      </c>
      <c r="AD13" s="15">
        <v>0.1</v>
      </c>
      <c r="AE13" s="15">
        <v>0.1</v>
      </c>
      <c r="AF13" s="15">
        <v>0.05</v>
      </c>
      <c r="AG13" s="15">
        <v>0.25</v>
      </c>
      <c r="AH13" s="15">
        <v>0.15</v>
      </c>
      <c r="AI13" s="15">
        <v>0.1</v>
      </c>
      <c r="AJ13" s="15">
        <f t="shared" si="11"/>
        <v>1</v>
      </c>
      <c r="AK13" s="19"/>
      <c r="AL13" s="71"/>
      <c r="AM13" s="43" t="s">
        <v>83</v>
      </c>
      <c r="AN13" s="13" t="s">
        <v>11</v>
      </c>
      <c r="AO13" s="37">
        <f t="shared" si="12"/>
        <v>0.11073093649624542</v>
      </c>
      <c r="AP13" s="23">
        <f t="shared" si="13"/>
        <v>0.13684827970831032</v>
      </c>
      <c r="AQ13" s="23">
        <f t="shared" si="14"/>
        <v>0.11073093649624542</v>
      </c>
      <c r="AR13" s="23">
        <f t="shared" si="15"/>
        <v>0.11073093649624542</v>
      </c>
      <c r="AS13" s="23">
        <f t="shared" si="16"/>
        <v>7.2032134914789381E-2</v>
      </c>
      <c r="AT13" s="23">
        <f t="shared" si="17"/>
        <v>0.16666666666666669</v>
      </c>
      <c r="AU13" s="23">
        <f t="shared" si="18"/>
        <v>0.13684827970831032</v>
      </c>
      <c r="AV13" s="25">
        <f t="shared" si="19"/>
        <v>0.11073093649624542</v>
      </c>
      <c r="AW13" s="23"/>
      <c r="AX13" s="24">
        <f t="shared" si="20"/>
        <v>0.95531910698305844</v>
      </c>
      <c r="AY13" s="25">
        <f t="shared" si="21"/>
        <v>4.4680893016941559E-2</v>
      </c>
      <c r="AZ13" s="23"/>
      <c r="BA13" s="12">
        <v>7.4777610089339655E-2</v>
      </c>
      <c r="BC13" s="13" t="s">
        <v>11</v>
      </c>
      <c r="BD13" s="26">
        <v>0.12916666666666665</v>
      </c>
      <c r="BE13" s="26">
        <v>0.24041666666666667</v>
      </c>
      <c r="BF13" s="26">
        <v>0.20333333333333337</v>
      </c>
      <c r="BG13" s="26">
        <v>0.27749999999999997</v>
      </c>
      <c r="BH13" s="26">
        <v>0.31458333333333333</v>
      </c>
      <c r="BI13" s="26">
        <v>0.35166666666666668</v>
      </c>
      <c r="BJ13" s="26">
        <v>0.38874999999999998</v>
      </c>
      <c r="BK13" s="26">
        <v>0.42583333333333334</v>
      </c>
      <c r="BL13" s="26">
        <v>0.46291666666666664</v>
      </c>
      <c r="BM13" s="26">
        <v>0.16625000000000001</v>
      </c>
      <c r="BN13" s="26">
        <v>0.5</v>
      </c>
      <c r="BO13" s="26">
        <v>0.53708333333333336</v>
      </c>
      <c r="BP13" s="27">
        <v>0.57416666666666671</v>
      </c>
      <c r="BQ13" s="26"/>
      <c r="BR13" s="28">
        <f t="shared" si="22"/>
        <v>4.5716666666666663</v>
      </c>
      <c r="BS13" s="29" cm="1">
        <f t="array" ref="BS13:CE13">(BR13-BS2:CE2)/26+0.5</f>
        <v>0.53708333333333336</v>
      </c>
      <c r="BT13" s="29">
        <v>0.48145833333333338</v>
      </c>
      <c r="BU13" s="29">
        <v>0.5</v>
      </c>
      <c r="BV13" s="29">
        <v>0.46006410256410257</v>
      </c>
      <c r="BW13" s="29">
        <v>0.45008012820512822</v>
      </c>
      <c r="BX13" s="29">
        <v>0.42155448717948718</v>
      </c>
      <c r="BY13" s="29">
        <v>0.4087179487179487</v>
      </c>
      <c r="BZ13" s="29">
        <v>0.38874999999999993</v>
      </c>
      <c r="CA13" s="29">
        <v>0.37020833333333331</v>
      </c>
      <c r="CB13" s="29">
        <v>0.51854166666666668</v>
      </c>
      <c r="CC13" s="29">
        <v>0.35166666666666657</v>
      </c>
      <c r="CD13" s="29">
        <v>0.33312499999999989</v>
      </c>
      <c r="CE13" s="30">
        <v>0.31458333333333333</v>
      </c>
      <c r="CF13" s="38">
        <f t="shared" si="23"/>
        <v>5.5358333333333327</v>
      </c>
      <c r="CH13" s="12">
        <f t="shared" si="24"/>
        <v>6.4561965811965813E-2</v>
      </c>
      <c r="CI13" s="12"/>
      <c r="CJ13" s="12">
        <f t="shared" si="25"/>
        <v>6.9482296350138403E-2</v>
      </c>
      <c r="CK13" s="33"/>
      <c r="CL13" s="71"/>
      <c r="CM13" s="40" t="s">
        <v>11</v>
      </c>
      <c r="CN13" s="41">
        <v>9.7285672748810365E-2</v>
      </c>
      <c r="CO13" s="42">
        <v>0.71655191719193356</v>
      </c>
      <c r="CQ13" s="1" t="s">
        <v>42</v>
      </c>
      <c r="CR13" s="1" t="s">
        <v>70</v>
      </c>
      <c r="CS13" s="68"/>
      <c r="DE13" s="1" t="s">
        <v>116</v>
      </c>
      <c r="DF13" s="1" t="s">
        <v>117</v>
      </c>
      <c r="DG13" s="1" t="s">
        <v>118</v>
      </c>
      <c r="DH13" s="1" t="s">
        <v>119</v>
      </c>
      <c r="DI13" s="1" t="s">
        <v>120</v>
      </c>
      <c r="DL13" s="67" t="s">
        <v>105</v>
      </c>
      <c r="DM13" s="67" t="s">
        <v>106</v>
      </c>
      <c r="DN13" s="67" t="s">
        <v>107</v>
      </c>
      <c r="DO13" s="67" t="s">
        <v>108</v>
      </c>
      <c r="DP13" s="67" t="s">
        <v>109</v>
      </c>
      <c r="DR13" s="23" t="s">
        <v>12</v>
      </c>
      <c r="DS13" s="23">
        <v>0.16405484884406912</v>
      </c>
      <c r="DT13" s="23">
        <v>6.1471688034188052E-2</v>
      </c>
      <c r="DU13" s="23">
        <v>0.14060696314522106</v>
      </c>
      <c r="DV13" s="23">
        <v>0.43910984154284494</v>
      </c>
    </row>
    <row r="14" spans="1:131" ht="23" customHeight="1" x14ac:dyDescent="0.4">
      <c r="A14" s="69" t="s">
        <v>66</v>
      </c>
      <c r="B14" s="14" t="s">
        <v>84</v>
      </c>
      <c r="C14" s="13" t="s">
        <v>12</v>
      </c>
      <c r="D14" s="1">
        <v>45.5</v>
      </c>
      <c r="E14" s="1">
        <v>15.4</v>
      </c>
      <c r="F14" s="1">
        <v>0</v>
      </c>
      <c r="G14" s="1">
        <v>0</v>
      </c>
      <c r="H14" s="1">
        <v>458</v>
      </c>
      <c r="I14" s="1">
        <v>923</v>
      </c>
      <c r="J14" s="1">
        <v>76.5</v>
      </c>
      <c r="K14" s="14">
        <v>5.85</v>
      </c>
      <c r="M14" s="69" t="s">
        <v>66</v>
      </c>
      <c r="N14" s="14" t="s">
        <v>84</v>
      </c>
      <c r="O14" s="13" t="s">
        <v>12</v>
      </c>
      <c r="P14" s="35">
        <f>EXP(-D14/236)</f>
        <v>0.82464968244258918</v>
      </c>
      <c r="Q14" s="19">
        <f t="shared" ref="Q14:W14" si="28">EXP(-E14/236)</f>
        <v>0.93682925616857471</v>
      </c>
      <c r="R14" s="19">
        <f t="shared" si="28"/>
        <v>1</v>
      </c>
      <c r="S14" s="19">
        <f t="shared" si="28"/>
        <v>1</v>
      </c>
      <c r="T14" s="19">
        <f t="shared" si="28"/>
        <v>0.14360655638951231</v>
      </c>
      <c r="U14" s="19">
        <f t="shared" si="28"/>
        <v>2.0020131250399489E-2</v>
      </c>
      <c r="V14" s="19">
        <f t="shared" si="28"/>
        <v>0.72313992448597331</v>
      </c>
      <c r="W14" s="36">
        <f t="shared" si="28"/>
        <v>0.97551656737495407</v>
      </c>
      <c r="Y14" s="68" t="s">
        <v>66</v>
      </c>
      <c r="Z14" s="1" t="s">
        <v>84</v>
      </c>
      <c r="AA14" s="1" t="s">
        <v>12</v>
      </c>
      <c r="AB14" s="15" cm="1">
        <f t="array" ref="AB14:AI14">P14:W14/SUM(P14:W14)</f>
        <v>0.14663665800989439</v>
      </c>
      <c r="AC14" s="15">
        <v>0.16658408312673884</v>
      </c>
      <c r="AD14" s="15">
        <v>0.17781690957008647</v>
      </c>
      <c r="AE14" s="15">
        <v>0.17781690957008647</v>
      </c>
      <c r="AF14" s="15">
        <v>2.5535674051185432E-2</v>
      </c>
      <c r="AG14" s="15">
        <v>3.5599178681335482E-3</v>
      </c>
      <c r="AH14" s="15">
        <v>0.12858650655884149</v>
      </c>
      <c r="AI14" s="15">
        <v>0.17346334124503338</v>
      </c>
      <c r="AJ14" s="15">
        <f t="shared" si="11"/>
        <v>1</v>
      </c>
      <c r="AK14" s="19"/>
      <c r="AL14" s="69" t="s">
        <v>66</v>
      </c>
      <c r="AM14" s="14" t="s">
        <v>84</v>
      </c>
      <c r="AN14" s="13" t="s">
        <v>12</v>
      </c>
      <c r="AO14" s="37">
        <f t="shared" si="12"/>
        <v>0.13537898462138379</v>
      </c>
      <c r="AP14" s="23">
        <f t="shared" si="13"/>
        <v>0.14357757381351796</v>
      </c>
      <c r="AQ14" s="23">
        <f t="shared" si="14"/>
        <v>0.14767905174546145</v>
      </c>
      <c r="AR14" s="23">
        <f t="shared" si="15"/>
        <v>0.14767905174546145</v>
      </c>
      <c r="AS14" s="23">
        <f t="shared" si="16"/>
        <v>4.503932861198659E-2</v>
      </c>
      <c r="AT14" s="23">
        <f t="shared" si="17"/>
        <v>9.6520531705524097E-3</v>
      </c>
      <c r="AU14" s="23">
        <f t="shared" si="18"/>
        <v>0.12683725155241873</v>
      </c>
      <c r="AV14" s="25">
        <f t="shared" si="19"/>
        <v>0.14613114412883163</v>
      </c>
      <c r="AW14" s="23"/>
      <c r="AX14" s="24">
        <f t="shared" si="20"/>
        <v>0.90197443938961408</v>
      </c>
      <c r="AY14" s="25">
        <f t="shared" si="21"/>
        <v>9.802556061038592E-2</v>
      </c>
      <c r="AZ14" s="23"/>
      <c r="BA14" s="12">
        <v>0.16405484884406912</v>
      </c>
      <c r="BC14" s="13" t="s">
        <v>12</v>
      </c>
      <c r="BD14" s="26">
        <v>9.208333333333335E-2</v>
      </c>
      <c r="BE14" s="26">
        <v>0.20333333333333337</v>
      </c>
      <c r="BF14" s="26">
        <v>0.16625000000000001</v>
      </c>
      <c r="BG14" s="26">
        <v>0.24041666666666667</v>
      </c>
      <c r="BH14" s="26">
        <v>0.27749999999999997</v>
      </c>
      <c r="BI14" s="26">
        <v>0.31458333333333333</v>
      </c>
      <c r="BJ14" s="26">
        <v>0.35166666666666668</v>
      </c>
      <c r="BK14" s="26">
        <v>0.38874999999999998</v>
      </c>
      <c r="BL14" s="26">
        <v>0.42583333333333334</v>
      </c>
      <c r="BM14" s="26">
        <v>0.12916666666666665</v>
      </c>
      <c r="BN14" s="26">
        <v>0.46291666666666664</v>
      </c>
      <c r="BO14" s="26">
        <v>0.5</v>
      </c>
      <c r="BP14" s="27">
        <v>0.53708333333333336</v>
      </c>
      <c r="BQ14" s="26"/>
      <c r="BR14" s="28">
        <f t="shared" si="22"/>
        <v>4.0895833333333336</v>
      </c>
      <c r="BS14" s="29" cm="1">
        <f t="array" ref="BS14:CE14">(BR14-BS2:CE2)/26+0.5</f>
        <v>0.51854166666666668</v>
      </c>
      <c r="BT14" s="29">
        <v>0.4629166666666667</v>
      </c>
      <c r="BU14" s="29">
        <v>0.48145833333333338</v>
      </c>
      <c r="BV14" s="29">
        <v>0.44152243589743595</v>
      </c>
      <c r="BW14" s="29">
        <v>0.43153846153846154</v>
      </c>
      <c r="BX14" s="29">
        <v>0.40301282051282056</v>
      </c>
      <c r="BY14" s="29">
        <v>0.39017628205128208</v>
      </c>
      <c r="BZ14" s="29">
        <v>0.37020833333333331</v>
      </c>
      <c r="CA14" s="29">
        <v>0.35166666666666668</v>
      </c>
      <c r="CB14" s="29">
        <v>0.50000000000000011</v>
      </c>
      <c r="CC14" s="29">
        <v>0.33312499999999995</v>
      </c>
      <c r="CD14" s="29">
        <v>0.31458333333333327</v>
      </c>
      <c r="CE14" s="30">
        <v>0.29604166666666665</v>
      </c>
      <c r="CF14" s="38">
        <f t="shared" si="23"/>
        <v>5.2947916666666668</v>
      </c>
      <c r="CH14" s="12">
        <f t="shared" si="24"/>
        <v>6.1471688034188052E-2</v>
      </c>
      <c r="CJ14" s="12">
        <f t="shared" si="25"/>
        <v>0.10042274886019847</v>
      </c>
      <c r="CK14" s="33"/>
      <c r="CL14" s="69" t="s">
        <v>66</v>
      </c>
      <c r="CM14" s="39" t="s">
        <v>12</v>
      </c>
      <c r="CN14" s="12">
        <v>0.14060696314522106</v>
      </c>
      <c r="CO14" s="25" cm="1">
        <f t="array" ref="CO14:CO15">CN14:CN15/SUM(CN14:CN15)</f>
        <v>0.43910984154284494</v>
      </c>
      <c r="CQ14" s="1" t="s">
        <v>85</v>
      </c>
      <c r="CR14" s="1" t="s">
        <v>20</v>
      </c>
      <c r="CS14" s="29">
        <v>0.87008021106057387</v>
      </c>
      <c r="DD14" s="1" t="s">
        <v>121</v>
      </c>
      <c r="DE14" s="1">
        <v>0.57090672321389768</v>
      </c>
      <c r="DF14" s="1">
        <v>0.92881029138779603</v>
      </c>
      <c r="DG14" s="1">
        <v>0.35437648359767443</v>
      </c>
      <c r="DH14" s="1">
        <v>0.35860964552095648</v>
      </c>
      <c r="DI14" s="1">
        <v>0.53037883892286919</v>
      </c>
      <c r="DK14" s="67" t="s">
        <v>103</v>
      </c>
      <c r="DL14" s="15" cm="1">
        <f t="array" ref="DL14:DP14">DE9:DI9</f>
        <v>0.5991313130871615</v>
      </c>
      <c r="DM14" s="15">
        <v>0.89999999999999991</v>
      </c>
      <c r="DN14" s="15">
        <v>0.81228137580235948</v>
      </c>
      <c r="DO14" s="15">
        <v>0.72016378133112058</v>
      </c>
      <c r="DP14" s="15">
        <v>0.71290871192887884</v>
      </c>
      <c r="DR14" s="23" t="s">
        <v>13</v>
      </c>
      <c r="DS14" s="23">
        <v>0.2818375965368341</v>
      </c>
      <c r="DT14" s="23">
        <v>5.8381410256410263E-2</v>
      </c>
      <c r="DU14" s="23">
        <v>0.17960212770819289</v>
      </c>
      <c r="DV14" s="23">
        <v>0.56089015845715495</v>
      </c>
    </row>
    <row r="15" spans="1:131" ht="23" customHeight="1" x14ac:dyDescent="0.4">
      <c r="A15" s="71"/>
      <c r="B15" s="43" t="s">
        <v>86</v>
      </c>
      <c r="C15" s="9" t="s">
        <v>13</v>
      </c>
      <c r="D15" s="48">
        <v>0.3</v>
      </c>
      <c r="E15" s="48">
        <v>0.3</v>
      </c>
      <c r="F15" s="48">
        <v>0.9</v>
      </c>
      <c r="G15" s="48">
        <v>0.9</v>
      </c>
      <c r="H15" s="48">
        <v>0.5</v>
      </c>
      <c r="I15" s="48">
        <v>0.01</v>
      </c>
      <c r="J15" s="48">
        <v>0.6</v>
      </c>
      <c r="K15" s="43">
        <v>0.01</v>
      </c>
      <c r="M15" s="71"/>
      <c r="N15" s="43" t="s">
        <v>86</v>
      </c>
      <c r="O15" s="9" t="s">
        <v>13</v>
      </c>
      <c r="P15" s="49">
        <f>D15</f>
        <v>0.3</v>
      </c>
      <c r="Q15" s="50">
        <f t="shared" ref="Q15:W15" si="29">E15</f>
        <v>0.3</v>
      </c>
      <c r="R15" s="50">
        <f t="shared" si="29"/>
        <v>0.9</v>
      </c>
      <c r="S15" s="50">
        <f t="shared" si="29"/>
        <v>0.9</v>
      </c>
      <c r="T15" s="50">
        <f t="shared" si="29"/>
        <v>0.5</v>
      </c>
      <c r="U15" s="50">
        <f t="shared" si="29"/>
        <v>0.01</v>
      </c>
      <c r="V15" s="50">
        <f t="shared" si="29"/>
        <v>0.6</v>
      </c>
      <c r="W15" s="51">
        <f t="shared" si="29"/>
        <v>0.01</v>
      </c>
      <c r="Y15" s="68"/>
      <c r="Z15" s="1" t="s">
        <v>86</v>
      </c>
      <c r="AA15" s="1" t="s">
        <v>13</v>
      </c>
      <c r="AB15" s="15" cm="1">
        <f t="array" ref="AB15:AI15">P15:W15/SUM(P15:W15)</f>
        <v>8.5227272727272735E-2</v>
      </c>
      <c r="AC15" s="15">
        <v>8.5227272727272735E-2</v>
      </c>
      <c r="AD15" s="15">
        <v>0.25568181818181823</v>
      </c>
      <c r="AE15" s="15">
        <v>0.25568181818181823</v>
      </c>
      <c r="AF15" s="15">
        <v>0.14204545454545456</v>
      </c>
      <c r="AG15" s="15">
        <v>2.8409090909090914E-3</v>
      </c>
      <c r="AH15" s="15">
        <v>0.17045454545454547</v>
      </c>
      <c r="AI15" s="15">
        <v>2.8409090909090914E-3</v>
      </c>
      <c r="AJ15" s="15">
        <f t="shared" si="11"/>
        <v>1.0000000000000002</v>
      </c>
      <c r="AK15" s="19"/>
      <c r="AL15" s="71"/>
      <c r="AM15" s="43" t="s">
        <v>86</v>
      </c>
      <c r="AN15" s="9" t="s">
        <v>13</v>
      </c>
      <c r="AO15" s="52">
        <f t="shared" si="12"/>
        <v>0.10092446088149941</v>
      </c>
      <c r="AP15" s="53">
        <f t="shared" si="13"/>
        <v>0.10092446088149941</v>
      </c>
      <c r="AQ15" s="53">
        <f t="shared" si="14"/>
        <v>0.16769135133303603</v>
      </c>
      <c r="AR15" s="53">
        <f t="shared" si="15"/>
        <v>0.16769135133303603</v>
      </c>
      <c r="AS15" s="53">
        <f t="shared" si="16"/>
        <v>0.13331323053326577</v>
      </c>
      <c r="AT15" s="53">
        <f t="shared" si="17"/>
        <v>8.0108253964368357E-3</v>
      </c>
      <c r="AU15" s="53">
        <f t="shared" si="18"/>
        <v>0.14503073994481699</v>
      </c>
      <c r="AV15" s="42">
        <f t="shared" si="19"/>
        <v>8.0108253964368357E-3</v>
      </c>
      <c r="AW15" s="23"/>
      <c r="AX15" s="54">
        <f t="shared" si="20"/>
        <v>0.83159724570002735</v>
      </c>
      <c r="AY15" s="42">
        <f t="shared" si="21"/>
        <v>0.16840275429997265</v>
      </c>
      <c r="AZ15" s="23"/>
      <c r="BA15" s="41">
        <v>0.2818375965368341</v>
      </c>
      <c r="BC15" s="9" t="s">
        <v>13</v>
      </c>
      <c r="BD15" s="55">
        <v>5.4999999999999993E-2</v>
      </c>
      <c r="BE15" s="55">
        <v>0.16625000000000001</v>
      </c>
      <c r="BF15" s="55">
        <v>0.12916666666666665</v>
      </c>
      <c r="BG15" s="55">
        <v>0.20333333333333337</v>
      </c>
      <c r="BH15" s="55">
        <v>0.24041666666666667</v>
      </c>
      <c r="BI15" s="55">
        <v>0.27749999999999997</v>
      </c>
      <c r="BJ15" s="55">
        <v>0.31458333333333333</v>
      </c>
      <c r="BK15" s="55">
        <v>0.35166666666666668</v>
      </c>
      <c r="BL15" s="55">
        <v>0.38874999999999998</v>
      </c>
      <c r="BM15" s="55">
        <v>9.208333333333335E-2</v>
      </c>
      <c r="BN15" s="55">
        <v>0.42583333333333334</v>
      </c>
      <c r="BO15" s="55">
        <v>0.46291666666666664</v>
      </c>
      <c r="BP15" s="56">
        <v>0.5</v>
      </c>
      <c r="BQ15" s="26"/>
      <c r="BR15" s="57">
        <f t="shared" si="22"/>
        <v>3.6074999999999999</v>
      </c>
      <c r="BS15" s="58" cm="1">
        <f t="array" ref="BS15:CE15">(BR15-BS2:CE2)/26+0.5</f>
        <v>0.5</v>
      </c>
      <c r="BT15" s="58">
        <v>0.44437500000000002</v>
      </c>
      <c r="BU15" s="58">
        <v>0.4629166666666667</v>
      </c>
      <c r="BV15" s="58">
        <v>0.42298076923076922</v>
      </c>
      <c r="BW15" s="58">
        <v>0.41299679487179486</v>
      </c>
      <c r="BX15" s="58">
        <v>0.38447115384615388</v>
      </c>
      <c r="BY15" s="58">
        <v>0.3716346153846154</v>
      </c>
      <c r="BZ15" s="58">
        <v>0.35166666666666663</v>
      </c>
      <c r="CA15" s="58">
        <v>0.333125</v>
      </c>
      <c r="CB15" s="58">
        <v>0.48145833333333338</v>
      </c>
      <c r="CC15" s="58">
        <v>0.31458333333333327</v>
      </c>
      <c r="CD15" s="58">
        <v>0.29604166666666659</v>
      </c>
      <c r="CE15" s="59">
        <v>0.27749999999999997</v>
      </c>
      <c r="CF15" s="60">
        <f t="shared" si="23"/>
        <v>5.05375</v>
      </c>
      <c r="CH15" s="41">
        <f t="shared" si="24"/>
        <v>5.8381410256410263E-2</v>
      </c>
      <c r="CJ15" s="41">
        <f t="shared" si="25"/>
        <v>0.12827344366273771</v>
      </c>
      <c r="CK15" s="33"/>
      <c r="CL15" s="71"/>
      <c r="CM15" s="40" t="s">
        <v>13</v>
      </c>
      <c r="CN15" s="41">
        <v>0.17960212770819289</v>
      </c>
      <c r="CO15" s="42">
        <v>0.56089015845715495</v>
      </c>
      <c r="CQ15" s="1" t="s">
        <v>87</v>
      </c>
      <c r="CR15" s="1" t="s">
        <v>22</v>
      </c>
      <c r="CS15" s="29">
        <v>0.86964283666046915</v>
      </c>
      <c r="DD15" s="1" t="s">
        <v>122</v>
      </c>
      <c r="DE15" s="1">
        <v>0.57899142833155803</v>
      </c>
      <c r="DF15" s="1">
        <v>0.91830408112641071</v>
      </c>
      <c r="DG15" s="1">
        <v>0.53346245144472271</v>
      </c>
      <c r="DH15" s="1">
        <v>0.4302648372401498</v>
      </c>
      <c r="DI15" s="1">
        <v>0.57963799376603065</v>
      </c>
      <c r="DL15" s="67" t="s">
        <v>105</v>
      </c>
      <c r="DM15" s="67" t="s">
        <v>106</v>
      </c>
      <c r="DN15" s="67" t="s">
        <v>107</v>
      </c>
      <c r="DO15" s="67" t="s">
        <v>108</v>
      </c>
      <c r="DP15" s="67" t="s">
        <v>109</v>
      </c>
    </row>
    <row r="16" spans="1:131" ht="23" customHeight="1" x14ac:dyDescent="0.4">
      <c r="BA16" s="33">
        <f>SUM(BA3:BA15)</f>
        <v>1</v>
      </c>
      <c r="CH16" s="33">
        <f>SUM(CH3:CH15)</f>
        <v>1</v>
      </c>
      <c r="CN16" s="33">
        <f>SUM(CN3:CN15)</f>
        <v>1</v>
      </c>
      <c r="CQ16" s="1" t="s">
        <v>88</v>
      </c>
      <c r="CR16" s="1" t="s">
        <v>28</v>
      </c>
      <c r="CS16" s="29">
        <v>0.61412583496277506</v>
      </c>
      <c r="DD16" s="1" t="s">
        <v>123</v>
      </c>
      <c r="DE16" s="1">
        <v>0.94395598497547673</v>
      </c>
      <c r="DF16" s="1">
        <v>0.98135231423664748</v>
      </c>
      <c r="DG16" s="1">
        <v>0.99832687742776383</v>
      </c>
      <c r="DH16" s="1">
        <v>0.359688837563159</v>
      </c>
      <c r="DI16" s="1">
        <v>0.94391098415428443</v>
      </c>
      <c r="DK16" s="67" t="s">
        <v>104</v>
      </c>
      <c r="DL16" s="15" cm="1">
        <f t="array" ref="DL16:DP16">DE10:DI10</f>
        <v>0.31473157241132088</v>
      </c>
      <c r="DM16" s="15">
        <v>0.89999999999999991</v>
      </c>
      <c r="DN16" s="15">
        <v>0.81228137580235948</v>
      </c>
      <c r="DO16" s="15">
        <v>0.49428479132461145</v>
      </c>
      <c r="DP16" s="15">
        <v>0.57083135192949086</v>
      </c>
      <c r="DR16" s="23"/>
      <c r="DS16" s="23" t="s">
        <v>134</v>
      </c>
      <c r="DT16" s="23" t="s">
        <v>135</v>
      </c>
      <c r="DU16" s="23" t="s">
        <v>136</v>
      </c>
      <c r="DV16" s="23" t="s">
        <v>137</v>
      </c>
      <c r="DW16" s="23" t="s">
        <v>138</v>
      </c>
      <c r="DX16" s="23" t="s">
        <v>139</v>
      </c>
      <c r="DY16" s="23" t="s">
        <v>140</v>
      </c>
      <c r="DZ16" s="23" t="s">
        <v>141</v>
      </c>
      <c r="EA16" s="23" t="s">
        <v>18</v>
      </c>
    </row>
    <row r="17" spans="53:131" ht="23" customHeight="1" x14ac:dyDescent="0.4">
      <c r="CQ17" s="1" t="s">
        <v>89</v>
      </c>
      <c r="CR17" s="1" t="s">
        <v>32</v>
      </c>
      <c r="CS17" s="29">
        <v>0.56323120909400315</v>
      </c>
      <c r="DD17" s="1" t="s">
        <v>124</v>
      </c>
      <c r="DE17" s="1">
        <v>0.94395598497547673</v>
      </c>
      <c r="DF17" s="1">
        <v>0.98135231423664748</v>
      </c>
      <c r="DG17" s="1">
        <v>0.99832687742776383</v>
      </c>
      <c r="DH17" s="1">
        <v>0.35646738206955347</v>
      </c>
      <c r="DI17" s="1">
        <v>0.94391098415428443</v>
      </c>
      <c r="DL17" s="67" t="s">
        <v>105</v>
      </c>
      <c r="DM17" s="67" t="s">
        <v>106</v>
      </c>
      <c r="DN17" s="67" t="s">
        <v>107</v>
      </c>
      <c r="DO17" s="67" t="s">
        <v>108</v>
      </c>
      <c r="DP17" s="67" t="s">
        <v>109</v>
      </c>
      <c r="DR17" s="23" t="s">
        <v>129</v>
      </c>
      <c r="DS17" s="23">
        <v>0.61214738718442063</v>
      </c>
      <c r="DT17" s="23">
        <v>0.61838571474730797</v>
      </c>
      <c r="DU17" s="23">
        <v>0.89999999999999991</v>
      </c>
      <c r="DV17" s="23">
        <v>0.89999999999999991</v>
      </c>
      <c r="DW17" s="23">
        <v>0.62012524590117302</v>
      </c>
      <c r="DX17" s="23">
        <v>0.3</v>
      </c>
      <c r="DY17" s="23">
        <v>0.5991313130871615</v>
      </c>
      <c r="DZ17" s="23">
        <v>0.31473157241132088</v>
      </c>
      <c r="EA17" s="23">
        <v>0.72518421246536757</v>
      </c>
    </row>
    <row r="18" spans="53:131" ht="23" customHeight="1" x14ac:dyDescent="0.4">
      <c r="CQ18" s="1" t="s">
        <v>90</v>
      </c>
      <c r="CR18" s="1" t="s">
        <v>40</v>
      </c>
      <c r="CS18" s="29">
        <v>0.51938032119215372</v>
      </c>
      <c r="DD18" s="1" t="s">
        <v>125</v>
      </c>
      <c r="DE18" s="1">
        <v>0.58124581402711673</v>
      </c>
      <c r="DF18" s="1">
        <v>0.94321083873468026</v>
      </c>
      <c r="DG18" s="1">
        <v>0.89999999999999991</v>
      </c>
      <c r="DH18" s="1">
        <v>0.2166980070492312</v>
      </c>
      <c r="DI18" s="1">
        <v>0.34350413144928982</v>
      </c>
      <c r="DK18" s="1" t="s">
        <v>18</v>
      </c>
      <c r="DL18" s="1" cm="1">
        <f t="array" ref="DL18:DP18">_xlfn.ANCHORARRAY(DL2)*DL19+_xlfn.ANCHORARRAY(DL4)*DM19+_xlfn.ANCHORARRAY(DL8)*DN19+_xlfn.ANCHORARRAY(DL10)*DO19</f>
        <v>0.72518421246536757</v>
      </c>
      <c r="DM18" s="1">
        <v>0.56682996435171362</v>
      </c>
      <c r="DN18" s="1">
        <v>0.57657764073546813</v>
      </c>
      <c r="DO18" s="1">
        <v>0.56683658779590429</v>
      </c>
      <c r="DP18" s="1">
        <v>0.74481290592216265</v>
      </c>
      <c r="DR18" s="23" t="s">
        <v>130</v>
      </c>
      <c r="DS18" s="23">
        <v>0.39998259817700887</v>
      </c>
      <c r="DT18" s="23">
        <v>0.3</v>
      </c>
      <c r="DU18" s="23">
        <v>0.89999999999999991</v>
      </c>
      <c r="DV18" s="23">
        <v>0.89999999999999991</v>
      </c>
      <c r="DW18" s="23">
        <v>0.5370257472375598</v>
      </c>
      <c r="DX18" s="23">
        <v>0.89999999999999991</v>
      </c>
      <c r="DY18" s="23">
        <v>0.89999999999999991</v>
      </c>
      <c r="DZ18" s="23">
        <v>0.89999999999999991</v>
      </c>
      <c r="EA18" s="23">
        <v>0.56682996435171362</v>
      </c>
    </row>
    <row r="19" spans="53:131" ht="23" customHeight="1" x14ac:dyDescent="0.4">
      <c r="CQ19" s="1" t="s">
        <v>91</v>
      </c>
      <c r="CR19" s="1" t="s">
        <v>24</v>
      </c>
      <c r="CS19" s="29">
        <v>0.49104735415130552</v>
      </c>
      <c r="DD19" s="1" t="s">
        <v>126</v>
      </c>
      <c r="DE19" s="1">
        <v>0.16637208581403343</v>
      </c>
      <c r="DF19" s="1">
        <v>0.98135231423664748</v>
      </c>
      <c r="DG19" s="1">
        <v>0.90418280643059024</v>
      </c>
      <c r="DH19" s="1">
        <v>0.576829052338107</v>
      </c>
      <c r="DI19" s="1">
        <v>1.4399938245601426E-2</v>
      </c>
      <c r="DK19" s="1" t="s">
        <v>92</v>
      </c>
      <c r="DL19" s="1">
        <v>0.34683999999999998</v>
      </c>
      <c r="DM19" s="1">
        <v>0.26623999999999998</v>
      </c>
      <c r="DN19" s="1">
        <v>0.38691999999999999</v>
      </c>
      <c r="DO19" s="1">
        <v>0</v>
      </c>
      <c r="DP19" s="1">
        <f>CS3*DL19+CS4*DM19+CS6*DN19+CS7*DO19</f>
        <v>0.66657875407214273</v>
      </c>
      <c r="DR19" s="23" t="s">
        <v>131</v>
      </c>
      <c r="DS19" s="23">
        <v>0.3</v>
      </c>
      <c r="DT19" s="23">
        <v>0.46686313377204136</v>
      </c>
      <c r="DU19" s="23">
        <v>0.89999999999999991</v>
      </c>
      <c r="DV19" s="23">
        <v>0.89999999999999991</v>
      </c>
      <c r="DW19" s="23">
        <v>0.80838405097361443</v>
      </c>
      <c r="DX19" s="23">
        <v>0.81228137580235948</v>
      </c>
      <c r="DY19" s="23">
        <v>0.81228137580235948</v>
      </c>
      <c r="DZ19" s="23">
        <v>0.81228137580235948</v>
      </c>
      <c r="EA19" s="23">
        <v>0.57657764073546813</v>
      </c>
    </row>
    <row r="20" spans="53:131" ht="23" customHeight="1" x14ac:dyDescent="0.4">
      <c r="CQ20" s="1" t="s">
        <v>93</v>
      </c>
      <c r="CR20" s="1" t="s">
        <v>30</v>
      </c>
      <c r="CS20" s="29">
        <v>0.36449985775197541</v>
      </c>
      <c r="DD20" s="1" t="s">
        <v>127</v>
      </c>
      <c r="DE20" s="1">
        <v>0.55403824046669592</v>
      </c>
      <c r="DF20" s="1">
        <v>0.98135231423664748</v>
      </c>
      <c r="DG20" s="1">
        <v>0.90418280643059024</v>
      </c>
      <c r="DH20" s="1">
        <v>0.46888804332140299</v>
      </c>
      <c r="DI20" s="1">
        <v>0.65407195272863361</v>
      </c>
      <c r="DL20" s="1" t="s">
        <v>43</v>
      </c>
      <c r="DM20" s="1" t="s">
        <v>44</v>
      </c>
      <c r="DN20" s="1" t="s">
        <v>46</v>
      </c>
      <c r="DO20" s="1" t="s">
        <v>47</v>
      </c>
      <c r="DP20" s="1" t="s">
        <v>94</v>
      </c>
      <c r="DR20" s="23" t="s">
        <v>132</v>
      </c>
      <c r="DS20" s="23">
        <v>0.53643333224641965</v>
      </c>
      <c r="DT20" s="23">
        <v>0.65581519502647923</v>
      </c>
      <c r="DU20" s="23">
        <v>0.53823133115207389</v>
      </c>
      <c r="DV20" s="23">
        <v>0.53286419238009475</v>
      </c>
      <c r="DW20" s="23">
        <v>0.3</v>
      </c>
      <c r="DX20" s="23">
        <v>0.89999999999999991</v>
      </c>
      <c r="DY20" s="23">
        <v>0.72016378133112058</v>
      </c>
      <c r="DZ20" s="23">
        <v>0.49428479132461145</v>
      </c>
      <c r="EA20" s="23">
        <v>0.56683658779590429</v>
      </c>
    </row>
    <row r="21" spans="53:131" ht="23" customHeight="1" x14ac:dyDescent="0.4">
      <c r="BA21" s="3"/>
      <c r="BB21" s="4" t="s">
        <v>15</v>
      </c>
      <c r="BC21" s="4" t="s">
        <v>16</v>
      </c>
      <c r="BD21" s="4" t="s">
        <v>2</v>
      </c>
      <c r="BE21" s="4" t="s">
        <v>7</v>
      </c>
      <c r="BF21" s="4" t="s">
        <v>4</v>
      </c>
      <c r="BG21" s="4" t="s">
        <v>5</v>
      </c>
      <c r="BH21" s="4" t="s">
        <v>6</v>
      </c>
      <c r="BI21" s="4" t="s">
        <v>8</v>
      </c>
      <c r="BJ21" s="4" t="s">
        <v>9</v>
      </c>
      <c r="BK21" s="4" t="s">
        <v>10</v>
      </c>
      <c r="BL21" s="4" t="s">
        <v>11</v>
      </c>
      <c r="BM21" s="4" t="s">
        <v>12</v>
      </c>
      <c r="BN21" s="2" t="s">
        <v>13</v>
      </c>
      <c r="CQ21" s="1" t="s">
        <v>95</v>
      </c>
      <c r="CR21" s="1" t="s">
        <v>26</v>
      </c>
      <c r="CS21" s="29">
        <v>0.25488649439076694</v>
      </c>
      <c r="DD21" s="1" t="s">
        <v>128</v>
      </c>
      <c r="DE21" s="1">
        <v>0.18546380834132348</v>
      </c>
      <c r="DF21" s="1">
        <v>0.98135231423664748</v>
      </c>
      <c r="DG21" s="1">
        <v>0.90418280643059024</v>
      </c>
      <c r="DH21" s="1">
        <v>0.33331131535500358</v>
      </c>
      <c r="DI21" s="1">
        <v>0.43396782690700764</v>
      </c>
      <c r="DR21" s="23" t="s">
        <v>133</v>
      </c>
      <c r="DS21" s="23">
        <v>0.63306472447964335</v>
      </c>
      <c r="DT21" s="23">
        <v>0.66486154178051105</v>
      </c>
      <c r="DU21" s="23">
        <v>0.89999999999999991</v>
      </c>
      <c r="DV21" s="23">
        <v>0.89999999999999991</v>
      </c>
      <c r="DW21" s="23">
        <v>0.51243697618372586</v>
      </c>
      <c r="DX21" s="23">
        <v>0.3</v>
      </c>
      <c r="DY21" s="23">
        <v>0.71290871192887884</v>
      </c>
      <c r="DZ21" s="23">
        <v>0.57083135192949086</v>
      </c>
      <c r="EA21" s="1">
        <v>0.74481290592216265</v>
      </c>
    </row>
    <row r="22" spans="53:131" ht="23" customHeight="1" x14ac:dyDescent="0.4">
      <c r="BA22" s="13" t="s">
        <v>15</v>
      </c>
      <c r="BB22" s="61">
        <v>0.5</v>
      </c>
      <c r="BC22" s="61">
        <v>0.61124999999999996</v>
      </c>
      <c r="BD22" s="61">
        <v>0.57416666666666671</v>
      </c>
      <c r="BE22" s="26">
        <v>0.64833333333333332</v>
      </c>
      <c r="BF22" s="26">
        <v>0.68541666666666667</v>
      </c>
      <c r="BG22" s="26">
        <v>0.72250000000000003</v>
      </c>
      <c r="BH22" s="26">
        <v>0.75958333333333328</v>
      </c>
      <c r="BI22" s="26">
        <v>0.79666666666666663</v>
      </c>
      <c r="BJ22" s="26">
        <v>0.83374999999999999</v>
      </c>
      <c r="BK22" s="26">
        <v>0.53708333333333336</v>
      </c>
      <c r="BL22" s="26">
        <v>0.87083333333333335</v>
      </c>
      <c r="BM22" s="26">
        <v>0.90791666666666671</v>
      </c>
      <c r="BN22" s="27">
        <v>0.94500000000000006</v>
      </c>
    </row>
    <row r="23" spans="53:131" ht="23" customHeight="1" x14ac:dyDescent="0.4">
      <c r="BA23" s="13" t="s">
        <v>16</v>
      </c>
      <c r="BB23" s="61">
        <v>0.38874999999999998</v>
      </c>
      <c r="BC23" s="61">
        <v>0.5</v>
      </c>
      <c r="BD23" s="61">
        <v>0.46291666666666664</v>
      </c>
      <c r="BE23" s="26">
        <v>0.53708333333333336</v>
      </c>
      <c r="BF23" s="26">
        <v>0.57416666666666671</v>
      </c>
      <c r="BG23" s="26">
        <v>0.61124999999999996</v>
      </c>
      <c r="BH23" s="26">
        <v>0.64833333333333332</v>
      </c>
      <c r="BI23" s="26">
        <v>0.68541666666666667</v>
      </c>
      <c r="BJ23" s="26">
        <v>0.72250000000000003</v>
      </c>
      <c r="BK23" s="26">
        <v>0.42583333333333334</v>
      </c>
      <c r="BL23" s="26">
        <v>0.75958333333333328</v>
      </c>
      <c r="BM23" s="26">
        <v>0.79666666666666663</v>
      </c>
      <c r="BN23" s="27">
        <v>0.83374999999999999</v>
      </c>
      <c r="CQ23" s="68" t="s">
        <v>82</v>
      </c>
      <c r="CR23" s="68"/>
      <c r="CS23" s="68" t="s">
        <v>60</v>
      </c>
    </row>
    <row r="24" spans="53:131" ht="23" customHeight="1" x14ac:dyDescent="0.4">
      <c r="BA24" s="13" t="s">
        <v>2</v>
      </c>
      <c r="BB24" s="61">
        <v>0.42583333333333334</v>
      </c>
      <c r="BC24" s="61">
        <v>0.53708333333333336</v>
      </c>
      <c r="BD24" s="61">
        <v>0.5</v>
      </c>
      <c r="BE24" s="26">
        <v>0.57416666666666671</v>
      </c>
      <c r="BF24" s="26">
        <v>0.61124999999999996</v>
      </c>
      <c r="BG24" s="26">
        <v>0.64833333333333332</v>
      </c>
      <c r="BH24" s="26">
        <v>0.68541666666666667</v>
      </c>
      <c r="BI24" s="26">
        <v>0.72250000000000003</v>
      </c>
      <c r="BJ24" s="26">
        <v>0.75958333333333328</v>
      </c>
      <c r="BK24" s="26">
        <v>0.46291666666666664</v>
      </c>
      <c r="BL24" s="26">
        <v>0.79666666666666663</v>
      </c>
      <c r="BM24" s="26">
        <v>0.83374999999999999</v>
      </c>
      <c r="BN24" s="27">
        <v>0.87083333333333335</v>
      </c>
      <c r="CQ24" s="1" t="s">
        <v>42</v>
      </c>
      <c r="CR24" s="1" t="s">
        <v>70</v>
      </c>
      <c r="CS24" s="68"/>
    </row>
    <row r="25" spans="53:131" ht="23" customHeight="1" x14ac:dyDescent="0.4">
      <c r="BA25" s="13" t="s">
        <v>7</v>
      </c>
      <c r="BB25" s="26">
        <v>0.35166666666666668</v>
      </c>
      <c r="BC25" s="26">
        <v>0.46291666666666664</v>
      </c>
      <c r="BD25" s="26">
        <v>0.42583333333333334</v>
      </c>
      <c r="BE25" s="61">
        <v>0.5</v>
      </c>
      <c r="BF25" s="26">
        <v>0.38874999999999998</v>
      </c>
      <c r="BG25" s="26">
        <v>0.53708333333333336</v>
      </c>
      <c r="BH25" s="26">
        <v>0.57416666666666671</v>
      </c>
      <c r="BI25" s="26">
        <v>0.64833333333333332</v>
      </c>
      <c r="BJ25" s="26">
        <v>0.68541666666666667</v>
      </c>
      <c r="BK25" s="26">
        <v>0.38874999999999998</v>
      </c>
      <c r="BL25" s="26">
        <v>0.72250000000000003</v>
      </c>
      <c r="BM25" s="26">
        <v>0.75958333333333328</v>
      </c>
      <c r="BN25" s="27">
        <v>0.79666666666666663</v>
      </c>
      <c r="CQ25" s="1" t="s">
        <v>18</v>
      </c>
      <c r="CS25" s="29">
        <v>0.69669999999999999</v>
      </c>
    </row>
    <row r="26" spans="53:131" ht="23" customHeight="1" x14ac:dyDescent="0.4">
      <c r="BA26" s="13" t="s">
        <v>4</v>
      </c>
      <c r="BB26" s="26">
        <v>0.31458333333333333</v>
      </c>
      <c r="BC26" s="26">
        <v>0.42583333333333334</v>
      </c>
      <c r="BD26" s="26">
        <v>0.38874999999999998</v>
      </c>
      <c r="BE26" s="26">
        <v>0.46291666666666664</v>
      </c>
      <c r="BF26" s="61">
        <v>0.5</v>
      </c>
      <c r="BG26" s="26">
        <v>0.53708333333333336</v>
      </c>
      <c r="BH26" s="26">
        <v>0.57416666666666671</v>
      </c>
      <c r="BI26" s="26">
        <v>0.61124999999999996</v>
      </c>
      <c r="BJ26" s="26">
        <v>0.64833333333333332</v>
      </c>
      <c r="BK26" s="26">
        <v>0.35166666666666668</v>
      </c>
      <c r="BL26" s="26">
        <v>0.68541666666666667</v>
      </c>
      <c r="BM26" s="26">
        <v>0.72250000000000003</v>
      </c>
      <c r="BN26" s="27">
        <v>0.75958333333333328</v>
      </c>
      <c r="CQ26" s="1" t="s">
        <v>88</v>
      </c>
      <c r="CR26" s="1" t="s">
        <v>28</v>
      </c>
      <c r="CS26" s="29">
        <v>0.61412839914379813</v>
      </c>
    </row>
    <row r="27" spans="53:131" ht="23" customHeight="1" x14ac:dyDescent="0.4">
      <c r="BA27" s="13" t="s">
        <v>5</v>
      </c>
      <c r="BB27" s="26">
        <v>0.27749999999999997</v>
      </c>
      <c r="BC27" s="26">
        <v>0.38874999999999998</v>
      </c>
      <c r="BD27" s="26">
        <v>0.35166666666666668</v>
      </c>
      <c r="BE27" s="26">
        <v>0.46291666666666664</v>
      </c>
      <c r="BF27" s="26">
        <v>0.46291666666666664</v>
      </c>
      <c r="BG27" s="61">
        <v>0.5</v>
      </c>
      <c r="BH27" s="26">
        <v>0.53708333333333336</v>
      </c>
      <c r="BI27" s="26">
        <v>0.57416666666666671</v>
      </c>
      <c r="BJ27" s="26">
        <v>0.61124999999999996</v>
      </c>
      <c r="BK27" s="26">
        <v>0.31458333333333333</v>
      </c>
      <c r="BL27" s="26">
        <v>0.64833333333333332</v>
      </c>
      <c r="BM27" s="26">
        <v>0.68541666666666667</v>
      </c>
      <c r="BN27" s="27">
        <v>0.72250000000000003</v>
      </c>
      <c r="CQ27" s="1" t="s">
        <v>93</v>
      </c>
      <c r="CR27" s="1" t="s">
        <v>30</v>
      </c>
      <c r="CS27" s="29">
        <v>0.36449985775197541</v>
      </c>
    </row>
    <row r="28" spans="53:131" ht="23" customHeight="1" x14ac:dyDescent="0.4">
      <c r="BA28" s="13" t="s">
        <v>6</v>
      </c>
      <c r="BB28" s="26">
        <v>0.24041666666666667</v>
      </c>
      <c r="BC28" s="26">
        <v>0.35166666666666668</v>
      </c>
      <c r="BD28" s="26">
        <v>0.31458333333333333</v>
      </c>
      <c r="BE28" s="26">
        <v>0.42583333333333334</v>
      </c>
      <c r="BF28" s="26">
        <v>0.42583333333333334</v>
      </c>
      <c r="BG28" s="26">
        <v>0.61124999999999996</v>
      </c>
      <c r="BH28" s="61">
        <v>0.5</v>
      </c>
      <c r="BI28" s="26">
        <v>0.53708333333333336</v>
      </c>
      <c r="BJ28" s="26">
        <v>0.57416666666666671</v>
      </c>
      <c r="BK28" s="26">
        <v>0.27749999999999997</v>
      </c>
      <c r="BL28" s="26">
        <v>0.61124999999999996</v>
      </c>
      <c r="BM28" s="26">
        <v>0.64833333333333332</v>
      </c>
      <c r="BN28" s="27">
        <v>0.68541666666666667</v>
      </c>
      <c r="CQ28" s="1" t="s">
        <v>95</v>
      </c>
      <c r="CR28" s="1" t="s">
        <v>26</v>
      </c>
      <c r="CS28" s="29">
        <v>0.25494482593839873</v>
      </c>
    </row>
    <row r="29" spans="53:131" ht="23" customHeight="1" x14ac:dyDescent="0.4">
      <c r="BA29" s="13" t="s">
        <v>8</v>
      </c>
      <c r="BB29" s="26">
        <v>0.20333333333333337</v>
      </c>
      <c r="BC29" s="26">
        <v>0.31458333333333333</v>
      </c>
      <c r="BD29" s="26">
        <v>0.27749999999999997</v>
      </c>
      <c r="BE29" s="26">
        <v>0.35166666666666668</v>
      </c>
      <c r="BF29" s="26">
        <v>0.38874999999999998</v>
      </c>
      <c r="BG29" s="26">
        <v>0.42583333333333334</v>
      </c>
      <c r="BH29" s="26">
        <v>0.46291666666666664</v>
      </c>
      <c r="BI29" s="61">
        <v>0.5</v>
      </c>
      <c r="BJ29" s="61">
        <v>0.53708333333333336</v>
      </c>
      <c r="BK29" s="61">
        <v>0.24041666666666667</v>
      </c>
      <c r="BL29" s="61">
        <v>0.57416666666666671</v>
      </c>
      <c r="BM29" s="61">
        <v>0.61124999999999996</v>
      </c>
      <c r="BN29" s="62">
        <v>0.64833333333333332</v>
      </c>
      <c r="CS29" s="29"/>
    </row>
    <row r="30" spans="53:131" ht="23" customHeight="1" x14ac:dyDescent="0.4">
      <c r="BA30" s="13" t="s">
        <v>9</v>
      </c>
      <c r="BB30" s="26">
        <v>0.16625000000000001</v>
      </c>
      <c r="BC30" s="26">
        <v>0.27749999999999997</v>
      </c>
      <c r="BD30" s="26">
        <v>0.24041666666666667</v>
      </c>
      <c r="BE30" s="26">
        <v>0.31458333333333333</v>
      </c>
      <c r="BF30" s="26">
        <v>0.35166666666666668</v>
      </c>
      <c r="BG30" s="26">
        <v>0.38874999999999998</v>
      </c>
      <c r="BH30" s="26">
        <v>0.42583333333333334</v>
      </c>
      <c r="BI30" s="61">
        <v>0.46291666666666664</v>
      </c>
      <c r="BJ30" s="61">
        <v>0.5</v>
      </c>
      <c r="BK30" s="61">
        <v>0.20333333333333337</v>
      </c>
      <c r="BL30" s="61">
        <v>0.53708333333333336</v>
      </c>
      <c r="BM30" s="61">
        <v>0.57416666666666671</v>
      </c>
      <c r="BN30" s="62">
        <v>0.61124999999999996</v>
      </c>
    </row>
    <row r="31" spans="53:131" ht="23" customHeight="1" x14ac:dyDescent="0.4">
      <c r="BA31" s="13" t="s">
        <v>10</v>
      </c>
      <c r="BB31" s="26">
        <v>0.46291666666666664</v>
      </c>
      <c r="BC31" s="26">
        <v>0.57416666666666671</v>
      </c>
      <c r="BD31" s="26">
        <v>0.53708333333333336</v>
      </c>
      <c r="BE31" s="26">
        <v>0.61124999999999996</v>
      </c>
      <c r="BF31" s="26">
        <v>0.64833333333333332</v>
      </c>
      <c r="BG31" s="26">
        <v>0.68541666666666667</v>
      </c>
      <c r="BH31" s="26">
        <v>0.72250000000000003</v>
      </c>
      <c r="BI31" s="61">
        <v>0.75958333333333328</v>
      </c>
      <c r="BJ31" s="61">
        <v>0.79666666666666663</v>
      </c>
      <c r="BK31" s="61">
        <v>0.5</v>
      </c>
      <c r="BL31" s="61">
        <v>0.83374999999999999</v>
      </c>
      <c r="BM31" s="61">
        <v>0.87083333333333335</v>
      </c>
      <c r="BN31" s="62">
        <v>0.90791666666666671</v>
      </c>
    </row>
    <row r="32" spans="53:131" ht="23" customHeight="1" x14ac:dyDescent="0.4">
      <c r="BA32" s="13" t="s">
        <v>11</v>
      </c>
      <c r="BB32" s="26">
        <v>0.12916666666666665</v>
      </c>
      <c r="BC32" s="26">
        <v>0.24041666666666667</v>
      </c>
      <c r="BD32" s="26">
        <v>0.20333333333333337</v>
      </c>
      <c r="BE32" s="26">
        <v>0.27749999999999997</v>
      </c>
      <c r="BF32" s="26">
        <v>0.31458333333333333</v>
      </c>
      <c r="BG32" s="26">
        <v>0.35166666666666668</v>
      </c>
      <c r="BH32" s="26">
        <v>0.38874999999999998</v>
      </c>
      <c r="BI32" s="61">
        <v>0.42583333333333334</v>
      </c>
      <c r="BJ32" s="61">
        <v>0.46291666666666664</v>
      </c>
      <c r="BK32" s="61">
        <v>0.16625000000000001</v>
      </c>
      <c r="BL32" s="61">
        <v>0.5</v>
      </c>
      <c r="BM32" s="61">
        <v>0.53708333333333336</v>
      </c>
      <c r="BN32" s="62">
        <v>0.57416666666666671</v>
      </c>
    </row>
    <row r="33" spans="53:66" ht="23" customHeight="1" x14ac:dyDescent="0.4">
      <c r="BA33" s="13" t="s">
        <v>12</v>
      </c>
      <c r="BB33" s="26">
        <v>9.208333333333335E-2</v>
      </c>
      <c r="BC33" s="26">
        <v>0.20333333333333337</v>
      </c>
      <c r="BD33" s="26">
        <v>0.16625000000000001</v>
      </c>
      <c r="BE33" s="26">
        <v>0.24041666666666667</v>
      </c>
      <c r="BF33" s="26">
        <v>0.27749999999999997</v>
      </c>
      <c r="BG33" s="26">
        <v>0.31458333333333333</v>
      </c>
      <c r="BH33" s="26">
        <v>0.35166666666666668</v>
      </c>
      <c r="BI33" s="61">
        <v>0.38874999999999998</v>
      </c>
      <c r="BJ33" s="61">
        <v>0.42583333333333334</v>
      </c>
      <c r="BK33" s="61">
        <v>0.12916666666666665</v>
      </c>
      <c r="BL33" s="61">
        <v>0.46291666666666664</v>
      </c>
      <c r="BM33" s="61">
        <v>0.5</v>
      </c>
      <c r="BN33" s="62">
        <v>0.53708333333333336</v>
      </c>
    </row>
    <row r="34" spans="53:66" ht="23" customHeight="1" x14ac:dyDescent="0.4">
      <c r="BA34" s="9" t="s">
        <v>13</v>
      </c>
      <c r="BB34" s="55">
        <v>5.4999999999999993E-2</v>
      </c>
      <c r="BC34" s="55">
        <v>0.16625000000000001</v>
      </c>
      <c r="BD34" s="55">
        <v>0.12916666666666665</v>
      </c>
      <c r="BE34" s="55">
        <v>0.20333333333333337</v>
      </c>
      <c r="BF34" s="55">
        <v>0.24041666666666667</v>
      </c>
      <c r="BG34" s="55">
        <v>0.27749999999999997</v>
      </c>
      <c r="BH34" s="55">
        <v>0.31458333333333333</v>
      </c>
      <c r="BI34" s="63">
        <v>0.35166666666666668</v>
      </c>
      <c r="BJ34" s="63">
        <v>0.38874999999999998</v>
      </c>
      <c r="BK34" s="63">
        <v>9.208333333333335E-2</v>
      </c>
      <c r="BL34" s="63">
        <v>0.42583333333333334</v>
      </c>
      <c r="BM34" s="63">
        <v>0.46291666666666664</v>
      </c>
      <c r="BN34" s="64">
        <v>0.5</v>
      </c>
    </row>
  </sheetData>
  <sortState xmlns:xlrd2="http://schemas.microsoft.com/office/spreadsheetml/2017/richdata2" ref="CQ14:CS21">
    <sortCondition descending="1" ref="CS14:CS21"/>
  </sortState>
  <mergeCells count="41">
    <mergeCell ref="AL14:AL15"/>
    <mergeCell ref="AL10:AL11"/>
    <mergeCell ref="AL12:AL13"/>
    <mergeCell ref="A14:A15"/>
    <mergeCell ref="Y3:Y6"/>
    <mergeCell ref="Y7:Y9"/>
    <mergeCell ref="Y10:Y11"/>
    <mergeCell ref="Y12:Y13"/>
    <mergeCell ref="Y14:Y15"/>
    <mergeCell ref="A10:A11"/>
    <mergeCell ref="A12:A13"/>
    <mergeCell ref="M12:M13"/>
    <mergeCell ref="M14:M15"/>
    <mergeCell ref="A7:A9"/>
    <mergeCell ref="M7:M9"/>
    <mergeCell ref="M10:M11"/>
    <mergeCell ref="Y1:Z1"/>
    <mergeCell ref="BC1:BP1"/>
    <mergeCell ref="BR1:CE1"/>
    <mergeCell ref="CL3:CL6"/>
    <mergeCell ref="A1:B1"/>
    <mergeCell ref="A3:A6"/>
    <mergeCell ref="M3:M6"/>
    <mergeCell ref="M1:N1"/>
    <mergeCell ref="AX1:AY1"/>
    <mergeCell ref="BA1:BA2"/>
    <mergeCell ref="AL1:AM1"/>
    <mergeCell ref="AL3:AL6"/>
    <mergeCell ref="AL7:AL9"/>
    <mergeCell ref="CU1:CV1"/>
    <mergeCell ref="DC1:DD1"/>
    <mergeCell ref="CS1:CS2"/>
    <mergeCell ref="CH1:CH2"/>
    <mergeCell ref="CL7:CL9"/>
    <mergeCell ref="CQ23:CR23"/>
    <mergeCell ref="CS23:CS24"/>
    <mergeCell ref="CL10:CL11"/>
    <mergeCell ref="CL12:CL13"/>
    <mergeCell ref="CL14:CL15"/>
    <mergeCell ref="CS12:CS13"/>
    <mergeCell ref="CQ12:CR12"/>
  </mergeCells>
  <phoneticPr fontId="1" type="noConversion"/>
  <pageMargins left="0.7" right="0.7" top="0.75" bottom="0.75" header="0.3" footer="0.3"/>
  <pageSetup paperSize="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数据矩阵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 z</dc:creator>
  <cp:lastModifiedBy>z z</cp:lastModifiedBy>
  <cp:lastPrinted>2024-05-11T05:31:57Z</cp:lastPrinted>
  <dcterms:created xsi:type="dcterms:W3CDTF">2024-03-17T11:47:24Z</dcterms:created>
  <dcterms:modified xsi:type="dcterms:W3CDTF">2024-05-12T13:34:28Z</dcterms:modified>
</cp:coreProperties>
</file>